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26-1\fundamentals of machine learning\HW\"/>
    </mc:Choice>
  </mc:AlternateContent>
  <xr:revisionPtr revIDLastSave="0" documentId="13_ncr:1_{A7DD1913-75FD-4C1E-AB58-2753224A894E}" xr6:coauthVersionLast="47" xr6:coauthVersionMax="47" xr10:uidLastSave="{00000000-0000-0000-0000-000000000000}"/>
  <bookViews>
    <workbookView xWindow="16920" yWindow="3555" windowWidth="20460" windowHeight="14535" activeTab="8" xr2:uid="{A6211032-7A3B-4827-96B1-9A826F83E492}"/>
  </bookViews>
  <sheets>
    <sheet name="1-1" sheetId="1" r:id="rId1"/>
    <sheet name="1-2" sheetId="2" r:id="rId2"/>
    <sheet name="Sheet1" sheetId="3" r:id="rId3"/>
    <sheet name="4-3" sheetId="4" r:id="rId4"/>
    <sheet name="5-1" sheetId="5" r:id="rId5"/>
    <sheet name="5-2" sheetId="6" r:id="rId6"/>
    <sheet name="6" sheetId="7" r:id="rId7"/>
    <sheet name="8" sheetId="8" r:id="rId8"/>
    <sheet name="11" sheetId="9" r:id="rId9"/>
  </sheets>
  <definedNames>
    <definedName name="_xlnm._FilterDatabase" localSheetId="0" hidden="1">'1-1'!$B$4:$G$24</definedName>
    <definedName name="_xlnm._FilterDatabase" localSheetId="1" hidden="1">'1-2'!$B$5:$I$11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9" l="1"/>
  <c r="I14" i="9"/>
  <c r="I15" i="9"/>
  <c r="I12" i="9"/>
  <c r="G13" i="9"/>
  <c r="G14" i="9"/>
  <c r="G15" i="9"/>
  <c r="G12" i="9"/>
  <c r="F13" i="9"/>
  <c r="F14" i="9"/>
  <c r="F15" i="9"/>
  <c r="F12" i="9"/>
  <c r="E15" i="9"/>
  <c r="D15" i="9"/>
  <c r="H15" i="9" s="1"/>
  <c r="E14" i="9"/>
  <c r="D14" i="9"/>
  <c r="H14" i="9" s="1"/>
  <c r="E13" i="9"/>
  <c r="D13" i="9"/>
  <c r="H13" i="9" s="1"/>
  <c r="E12" i="9"/>
  <c r="D12" i="9"/>
  <c r="I5" i="9"/>
  <c r="I6" i="9"/>
  <c r="I7" i="9"/>
  <c r="I4" i="9"/>
  <c r="H5" i="9"/>
  <c r="H6" i="9"/>
  <c r="H7" i="9"/>
  <c r="H4" i="9"/>
  <c r="G4" i="9"/>
  <c r="G5" i="9"/>
  <c r="G6" i="9"/>
  <c r="G7" i="9"/>
  <c r="F5" i="9"/>
  <c r="F6" i="9"/>
  <c r="F7" i="9"/>
  <c r="F4" i="9"/>
  <c r="E5" i="9"/>
  <c r="E6" i="9"/>
  <c r="E7" i="9"/>
  <c r="E4" i="9"/>
  <c r="D5" i="9"/>
  <c r="D6" i="9"/>
  <c r="D7" i="9"/>
  <c r="D4" i="9"/>
  <c r="D15" i="8"/>
  <c r="C15" i="8" s="1"/>
  <c r="D14" i="8"/>
  <c r="C14" i="8" s="1"/>
  <c r="X6" i="8"/>
  <c r="X7" i="8"/>
  <c r="X8" i="8"/>
  <c r="X9" i="8"/>
  <c r="X5" i="8"/>
  <c r="S5" i="8"/>
  <c r="T5" i="8"/>
  <c r="U5" i="8"/>
  <c r="V5" i="8"/>
  <c r="W5" i="8"/>
  <c r="S6" i="8"/>
  <c r="T6" i="8"/>
  <c r="U6" i="8"/>
  <c r="V6" i="8"/>
  <c r="W6" i="8"/>
  <c r="S7" i="8"/>
  <c r="T7" i="8"/>
  <c r="U7" i="8"/>
  <c r="V7" i="8"/>
  <c r="W7" i="8"/>
  <c r="S8" i="8"/>
  <c r="T8" i="8"/>
  <c r="U8" i="8"/>
  <c r="V8" i="8"/>
  <c r="W8" i="8"/>
  <c r="S9" i="8"/>
  <c r="T9" i="8"/>
  <c r="U9" i="8"/>
  <c r="V9" i="8"/>
  <c r="W9" i="8"/>
  <c r="R6" i="8"/>
  <c r="R7" i="8"/>
  <c r="R8" i="8"/>
  <c r="R9" i="8"/>
  <c r="R5" i="8"/>
  <c r="H19" i="7"/>
  <c r="G23" i="7"/>
  <c r="H20" i="7"/>
  <c r="I25" i="7"/>
  <c r="G19" i="7"/>
  <c r="G20" i="7"/>
  <c r="K19" i="7"/>
  <c r="J19" i="7"/>
  <c r="K20" i="7"/>
  <c r="J20" i="7"/>
  <c r="I19" i="7"/>
  <c r="I20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3" i="7"/>
  <c r="F19" i="7"/>
  <c r="F20" i="7"/>
  <c r="E19" i="7"/>
  <c r="E20" i="7"/>
  <c r="D20" i="7"/>
  <c r="D19" i="7"/>
  <c r="E7" i="6"/>
  <c r="E4" i="6"/>
  <c r="E5" i="6"/>
  <c r="E6" i="6"/>
  <c r="E3" i="6"/>
  <c r="K16" i="5"/>
  <c r="L16" i="5"/>
  <c r="J16" i="5"/>
  <c r="K15" i="5"/>
  <c r="L15" i="5"/>
  <c r="J15" i="5"/>
  <c r="L12" i="5"/>
  <c r="K12" i="5"/>
  <c r="J12" i="5"/>
  <c r="L9" i="5"/>
  <c r="K9" i="5"/>
  <c r="J9" i="5"/>
  <c r="L6" i="5"/>
  <c r="K6" i="5"/>
  <c r="J6" i="5"/>
  <c r="K3" i="5"/>
  <c r="L3" i="5"/>
  <c r="J3" i="5"/>
  <c r="H44" i="4"/>
  <c r="H40" i="4"/>
  <c r="H33" i="4"/>
  <c r="H29" i="4"/>
  <c r="H22" i="4"/>
  <c r="H18" i="4"/>
  <c r="E33" i="4"/>
  <c r="E20" i="4"/>
  <c r="E22" i="4"/>
  <c r="B42" i="4"/>
  <c r="D42" i="4" s="1"/>
  <c r="C42" i="4"/>
  <c r="B43" i="4"/>
  <c r="D43" i="4" s="1"/>
  <c r="E43" i="4" s="1"/>
  <c r="C43" i="4"/>
  <c r="B44" i="4"/>
  <c r="D44" i="4" s="1"/>
  <c r="E44" i="4" s="1"/>
  <c r="C44" i="4"/>
  <c r="B40" i="4"/>
  <c r="D40" i="4" s="1"/>
  <c r="E40" i="4" s="1"/>
  <c r="B38" i="4"/>
  <c r="D38" i="4" s="1"/>
  <c r="E38" i="4" s="1"/>
  <c r="C38" i="4"/>
  <c r="B39" i="4"/>
  <c r="D39" i="4" s="1"/>
  <c r="E39" i="4" s="1"/>
  <c r="C39" i="4"/>
  <c r="C40" i="4"/>
  <c r="C37" i="4"/>
  <c r="B37" i="4"/>
  <c r="D37" i="4" s="1"/>
  <c r="B27" i="4"/>
  <c r="C27" i="4"/>
  <c r="B28" i="4"/>
  <c r="C28" i="4"/>
  <c r="D28" i="4" s="1"/>
  <c r="E28" i="4" s="1"/>
  <c r="B29" i="4"/>
  <c r="C29" i="4"/>
  <c r="B31" i="4"/>
  <c r="D31" i="4" s="1"/>
  <c r="E31" i="4" s="1"/>
  <c r="C31" i="4"/>
  <c r="B32" i="4"/>
  <c r="C32" i="4"/>
  <c r="B33" i="4"/>
  <c r="C33" i="4"/>
  <c r="D33" i="4"/>
  <c r="C26" i="4"/>
  <c r="B26" i="4"/>
  <c r="D26" i="4" s="1"/>
  <c r="B20" i="4"/>
  <c r="C20" i="4"/>
  <c r="D20" i="4" s="1"/>
  <c r="B21" i="4"/>
  <c r="C21" i="4"/>
  <c r="B22" i="4"/>
  <c r="C22" i="4"/>
  <c r="D22" i="4"/>
  <c r="B16" i="4"/>
  <c r="C16" i="4"/>
  <c r="D16" i="4"/>
  <c r="E16" i="4" s="1"/>
  <c r="B17" i="4"/>
  <c r="C17" i="4"/>
  <c r="D17" i="4"/>
  <c r="E17" i="4" s="1"/>
  <c r="B18" i="4"/>
  <c r="C18" i="4"/>
  <c r="D18" i="4"/>
  <c r="E18" i="4" s="1"/>
  <c r="C15" i="4"/>
  <c r="B15" i="4"/>
  <c r="D15" i="4" s="1"/>
  <c r="J4" i="3"/>
  <c r="K4" i="3"/>
  <c r="L4" i="3"/>
  <c r="M4" i="3"/>
  <c r="J5" i="3"/>
  <c r="K5" i="3"/>
  <c r="L5" i="3"/>
  <c r="M5" i="3"/>
  <c r="J6" i="3"/>
  <c r="K6" i="3"/>
  <c r="L6" i="3"/>
  <c r="M6" i="3"/>
  <c r="J7" i="3"/>
  <c r="K7" i="3"/>
  <c r="L7" i="3"/>
  <c r="M7" i="3"/>
  <c r="J8" i="3"/>
  <c r="K8" i="3"/>
  <c r="L8" i="3"/>
  <c r="M8" i="3"/>
  <c r="M3" i="3"/>
  <c r="L3" i="3"/>
  <c r="K3" i="3"/>
  <c r="J3" i="3"/>
  <c r="M7" i="2"/>
  <c r="M6" i="2"/>
  <c r="H7" i="2"/>
  <c r="H8" i="2"/>
  <c r="H9" i="2"/>
  <c r="H10" i="2"/>
  <c r="H11" i="2"/>
  <c r="H6" i="2"/>
  <c r="K7" i="2"/>
  <c r="K6" i="2"/>
  <c r="G11" i="2"/>
  <c r="G8" i="2"/>
  <c r="G10" i="2"/>
  <c r="G9" i="2"/>
  <c r="G7" i="2"/>
  <c r="G6" i="2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H19" i="1"/>
  <c r="H22" i="1"/>
  <c r="G5" i="1"/>
  <c r="D28" i="1"/>
  <c r="E28" i="1"/>
  <c r="F28" i="1"/>
  <c r="C28" i="1"/>
  <c r="D27" i="1"/>
  <c r="E27" i="1"/>
  <c r="F27" i="1"/>
  <c r="C27" i="1"/>
  <c r="H9" i="1"/>
  <c r="H12" i="1"/>
  <c r="H8" i="1"/>
  <c r="H12" i="9" l="1"/>
  <c r="C17" i="8"/>
  <c r="D17" i="8"/>
  <c r="E15" i="4"/>
  <c r="E37" i="4"/>
  <c r="E26" i="4"/>
  <c r="E42" i="4"/>
  <c r="D21" i="4"/>
  <c r="D32" i="4"/>
  <c r="E32" i="4" s="1"/>
  <c r="D29" i="4"/>
  <c r="E29" i="4" s="1"/>
  <c r="D27" i="4"/>
  <c r="E27" i="4" s="1"/>
  <c r="H23" i="1"/>
  <c r="H14" i="1"/>
  <c r="H13" i="1"/>
  <c r="H18" i="1"/>
  <c r="H24" i="1"/>
  <c r="H15" i="1"/>
  <c r="H6" i="1"/>
  <c r="H21" i="1"/>
  <c r="H10" i="1"/>
  <c r="H7" i="1"/>
  <c r="O7" i="1" s="1"/>
  <c r="H17" i="1"/>
  <c r="H16" i="1"/>
  <c r="H5" i="1"/>
  <c r="M6" i="1" s="1"/>
  <c r="H20" i="1"/>
  <c r="H11" i="1"/>
  <c r="H27" i="1" s="1"/>
  <c r="O6" i="1"/>
  <c r="M7" i="1"/>
  <c r="G27" i="1"/>
  <c r="G28" i="1"/>
  <c r="C19" i="8" l="1"/>
  <c r="E21" i="4"/>
  <c r="H28" i="1"/>
</calcChain>
</file>

<file path=xl/sharedStrings.xml><?xml version="1.0" encoding="utf-8"?>
<sst xmlns="http://schemas.openxmlformats.org/spreadsheetml/2006/main" count="240" uniqueCount="102">
  <si>
    <t>class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</si>
  <si>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</si>
  <si>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</si>
  <si>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</si>
  <si>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</si>
  <si>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</si>
  <si>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</si>
  <si>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</si>
  <si>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X</t>
    <phoneticPr fontId="1" type="noConversion"/>
  </si>
  <si>
    <t>dist</t>
    <phoneticPr fontId="1" type="noConversion"/>
  </si>
  <si>
    <t>weight</t>
    <phoneticPr fontId="1" type="noConversion"/>
  </si>
  <si>
    <t>k=3</t>
    <phoneticPr fontId="1" type="noConversion"/>
  </si>
  <si>
    <t>k=5</t>
    <phoneticPr fontId="1" type="noConversion"/>
  </si>
  <si>
    <t>weight sum</t>
    <phoneticPr fontId="1" type="noConversion"/>
  </si>
  <si>
    <t>-</t>
    <phoneticPr fontId="1" type="noConversion"/>
  </si>
  <si>
    <t>Id</t>
  </si>
  <si>
    <t>Age</t>
  </si>
  <si>
    <t>Horse_Power</t>
  </si>
  <si>
    <t>Brand</t>
  </si>
  <si>
    <t>MPG</t>
  </si>
  <si>
    <t>Price</t>
  </si>
  <si>
    <t>Car 1</t>
  </si>
  <si>
    <t>Car 2</t>
  </si>
  <si>
    <t>Car 3</t>
  </si>
  <si>
    <t>Car 4</t>
  </si>
  <si>
    <t>Car 5</t>
  </si>
  <si>
    <t>Car 6</t>
  </si>
  <si>
    <t>New</t>
  </si>
  <si>
    <t>P</t>
    <phoneticPr fontId="1" type="noConversion"/>
  </si>
  <si>
    <t>L2 distance</t>
    <phoneticPr fontId="1" type="noConversion"/>
  </si>
  <si>
    <t>HP</t>
  </si>
  <si>
    <t>y</t>
    <phoneticPr fontId="1" type="noConversion"/>
  </si>
  <si>
    <t>train</t>
    <phoneticPr fontId="1" type="noConversion"/>
  </si>
  <si>
    <t>test</t>
    <phoneticPr fontId="1" type="noConversion"/>
  </si>
  <si>
    <t>w0</t>
    <phoneticPr fontId="1" type="noConversion"/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</si>
  <si>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</si>
  <si>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</si>
  <si>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</si>
  <si>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</si>
  <si>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w5</t>
    <phoneticPr fontId="1" type="noConversion"/>
  </si>
  <si>
    <t>MSE</t>
    <phoneticPr fontId="1" type="noConversion"/>
  </si>
  <si>
    <t>Fold1</t>
  </si>
  <si>
    <t>Fold</t>
  </si>
  <si>
    <t>Sample</t>
  </si>
  <si>
    <t>y</t>
  </si>
  <si>
    <t>M1</t>
  </si>
  <si>
    <t>M2</t>
  </si>
  <si>
    <t>M3</t>
  </si>
  <si>
    <t>Fold2</t>
  </si>
  <si>
    <t>Fold3</t>
  </si>
  <si>
    <t>Fold4</t>
  </si>
  <si>
    <t>M1</t>
    <phoneticPr fontId="1" type="noConversion"/>
  </si>
  <si>
    <t>M2</t>
    <phoneticPr fontId="1" type="noConversion"/>
  </si>
  <si>
    <t>M3</t>
    <phoneticPr fontId="1" type="noConversion"/>
  </si>
  <si>
    <t>Fold1 MSE</t>
    <phoneticPr fontId="1" type="noConversion"/>
  </si>
  <si>
    <t>Fold2 MSE</t>
    <phoneticPr fontId="1" type="noConversion"/>
  </si>
  <si>
    <t>Fold3 MSE</t>
    <phoneticPr fontId="1" type="noConversion"/>
  </si>
  <si>
    <t>Fold4 MSE</t>
    <phoneticPr fontId="1" type="noConversion"/>
  </si>
  <si>
    <t>average</t>
    <phoneticPr fontId="1" type="noConversion"/>
  </si>
  <si>
    <t>STD</t>
    <phoneticPr fontId="1" type="noConversion"/>
  </si>
  <si>
    <t>Sample</t>
    <phoneticPr fontId="1" type="noConversion"/>
  </si>
  <si>
    <t>M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</si>
  <si>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</si>
  <si>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</si>
  <si>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</si>
  <si>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</si>
  <si>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Outlook</t>
    <phoneticPr fontId="1" type="noConversion"/>
  </si>
  <si>
    <t>Temp</t>
    <phoneticPr fontId="1" type="noConversion"/>
  </si>
  <si>
    <t>Humidity</t>
    <phoneticPr fontId="1" type="noConversion"/>
  </si>
  <si>
    <t>S-wind</t>
    <phoneticPr fontId="1" type="noConversion"/>
  </si>
  <si>
    <t>W-Wind</t>
    <phoneticPr fontId="1" type="noConversion"/>
  </si>
  <si>
    <t>Play</t>
    <phoneticPr fontId="1" type="noConversion"/>
  </si>
  <si>
    <t>Sunny</t>
    <phoneticPr fontId="1" type="noConversion"/>
  </si>
  <si>
    <t>High</t>
    <phoneticPr fontId="1" type="noConversion"/>
  </si>
  <si>
    <t>No</t>
    <phoneticPr fontId="1" type="noConversion"/>
  </si>
  <si>
    <t>Overcast</t>
    <phoneticPr fontId="1" type="noConversion"/>
  </si>
  <si>
    <t>Rain</t>
    <phoneticPr fontId="1" type="noConversion"/>
  </si>
  <si>
    <t>Normal</t>
    <phoneticPr fontId="1" type="noConversion"/>
  </si>
  <si>
    <t>Yes</t>
    <phoneticPr fontId="1" type="noConversion"/>
  </si>
  <si>
    <t>Wind Sum</t>
    <phoneticPr fontId="1" type="noConversion"/>
  </si>
  <si>
    <t>ID</t>
    <phoneticPr fontId="1" type="noConversion"/>
  </si>
  <si>
    <t>Income</t>
    <phoneticPr fontId="1" type="noConversion"/>
  </si>
  <si>
    <t>Buy</t>
    <phoneticPr fontId="1" type="noConversion"/>
  </si>
  <si>
    <t>D1</t>
    <phoneticPr fontId="1" type="noConversion"/>
  </si>
  <si>
    <t>D2</t>
    <phoneticPr fontId="1" type="noConversion"/>
  </si>
  <si>
    <t>D3</t>
  </si>
  <si>
    <t>D4</t>
  </si>
  <si>
    <t>D5</t>
  </si>
  <si>
    <t>x3</t>
  </si>
  <si>
    <t>x4</t>
  </si>
  <si>
    <t>x5</t>
  </si>
  <si>
    <t>x6</t>
  </si>
  <si>
    <t>Y</t>
    <phoneticPr fontId="1" type="noConversion"/>
  </si>
  <si>
    <t>T</t>
    <phoneticPr fontId="1" type="noConversion"/>
  </si>
  <si>
    <t>F</t>
    <phoneticPr fontId="1" type="noConversion"/>
  </si>
  <si>
    <t>s1</t>
    <phoneticPr fontId="1" type="noConversion"/>
  </si>
  <si>
    <t>s2</t>
    <phoneticPr fontId="1" type="noConversion"/>
  </si>
  <si>
    <t xml:space="preserve">y1 </t>
    <phoneticPr fontId="1" type="noConversion"/>
  </si>
  <si>
    <t>y2</t>
    <phoneticPr fontId="1" type="noConversion"/>
  </si>
  <si>
    <t>s3</t>
    <phoneticPr fontId="1" type="noConversion"/>
  </si>
  <si>
    <t>ReLU</t>
    <phoneticPr fontId="1" type="noConversion"/>
  </si>
  <si>
    <t>Sigmoid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</si>
</sst>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"/>
    <numFmt numFmtId="177" formatCode="0.000000"/>
    <numFmt numFmtId="178" formatCode="0.00000"/>
    <numFmt numFmtId="179" formatCode="0.0000"/>
    <numFmt numFmtId="180" formatCode="0.0"/>
    <numFmt numFmtId="181" formatCode="0.000_ 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3CAEB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2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2" borderId="5" xfId="0" applyFill="1" applyBorder="1">
      <alignment vertical="center"/>
    </xf>
    <xf numFmtId="177" fontId="0" fillId="0" borderId="0" xfId="0" applyNumberFormat="1">
      <alignment vertical="center"/>
    </xf>
    <xf numFmtId="177" fontId="0" fillId="2" borderId="5" xfId="0" applyNumberFormat="1" applyFill="1" applyBorder="1">
      <alignment vertical="center"/>
    </xf>
    <xf numFmtId="177" fontId="0" fillId="3" borderId="5" xfId="0" applyNumberFormat="1" applyFill="1" applyBorder="1">
      <alignment vertical="center"/>
    </xf>
    <xf numFmtId="177" fontId="0" fillId="0" borderId="5" xfId="0" applyNumberFormat="1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9" fontId="0" fillId="0" borderId="27" xfId="0" applyNumberFormat="1" applyBorder="1">
      <alignment vertical="center"/>
    </xf>
    <xf numFmtId="179" fontId="0" fillId="0" borderId="28" xfId="0" applyNumberFormat="1" applyBorder="1">
      <alignment vertical="center"/>
    </xf>
    <xf numFmtId="179" fontId="0" fillId="0" borderId="24" xfId="0" applyNumberFormat="1" applyBorder="1">
      <alignment vertical="center"/>
    </xf>
    <xf numFmtId="179" fontId="0" fillId="0" borderId="25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180" fontId="0" fillId="0" borderId="5" xfId="0" applyNumberFormat="1" applyBorder="1">
      <alignment vertical="center"/>
    </xf>
    <xf numFmtId="180" fontId="0" fillId="0" borderId="14" xfId="0" applyNumberFormat="1" applyBorder="1">
      <alignment vertical="center"/>
    </xf>
    <xf numFmtId="181" fontId="0" fillId="0" borderId="12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0" xfId="0" applyNumberFormat="1">
      <alignment vertical="center"/>
    </xf>
    <xf numFmtId="0" fontId="0" fillId="6" borderId="5" xfId="0" applyFill="1" applyBorder="1">
      <alignment vertical="center"/>
    </xf>
    <xf numFmtId="0" fontId="0" fillId="0" borderId="17" xfId="0" applyBorder="1">
      <alignment vertical="center"/>
    </xf>
    <xf numFmtId="0" fontId="3" fillId="0" borderId="0" xfId="0" applyFont="1">
      <alignment vertical="center"/>
    </xf>
    <xf numFmtId="0" fontId="0" fillId="0" borderId="18" xfId="0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0" fillId="0" borderId="29" xfId="0" applyBorder="1">
      <alignment vertical="center"/>
    </xf>
    <xf numFmtId="0" fontId="0" fillId="0" borderId="21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0" borderId="30" xfId="0" applyFont="1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3" fillId="0" borderId="1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9" fontId="0" fillId="0" borderId="19" xfId="0" applyNumberFormat="1" applyBorder="1" applyAlignment="1">
      <alignment horizontal="center" vertical="center"/>
    </xf>
    <xf numFmtId="179" fontId="0" fillId="0" borderId="20" xfId="0" applyNumberFormat="1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79" fontId="0" fillId="0" borderId="16" xfId="0" applyNumberFormat="1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179" fontId="0" fillId="0" borderId="18" xfId="0" applyNumberForma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F896-894D-48FB-A7A2-9D732FE1225A}">
  <dimension ref="B2:O28"/>
  <sheetViews>
    <sheetView workbookViewId="0">
      <selection activeCell="G33" sqref="G33"/>
    </sheetView>
  </sheetViews>
  <sheetFormatPr defaultRowHeight="16.5"/>
  <cols>
    <col min="8" max="8" width="8.625" customWidth="1"/>
    <col min="11" max="11" width="11.5" bestFit="1" customWidth="1"/>
  </cols>
  <sheetData>
    <row r="2" spans="2:15">
      <c r="B2" t="s">
        <v>8</v>
      </c>
      <c r="C2">
        <v>8</v>
      </c>
      <c r="D2">
        <v>9</v>
      </c>
      <c r="E2">
        <v>111</v>
      </c>
    </row>
    <row r="4" spans="2:15">
      <c r="B4" s="8" t="s">
        <v>0</v>
      </c>
      <c r="C4" s="8" t="s">
        <v>1</v>
      </c>
      <c r="D4" s="8" t="s">
        <v>2</v>
      </c>
      <c r="E4" s="8" t="s">
        <v>3</v>
      </c>
      <c r="F4" s="8"/>
      <c r="G4" s="8" t="s">
        <v>9</v>
      </c>
      <c r="H4" s="8" t="s">
        <v>10</v>
      </c>
    </row>
    <row r="5" spans="2:15">
      <c r="B5" s="10" t="s">
        <v>5</v>
      </c>
      <c r="C5" s="10">
        <v>5</v>
      </c>
      <c r="D5" s="10">
        <v>6</v>
      </c>
      <c r="E5" s="10">
        <v>110</v>
      </c>
      <c r="F5" s="10"/>
      <c r="G5" s="10">
        <f>SQRT(SUMXMY2(C5:E5,$C$2:$E$2))</f>
        <v>4.358898943540674</v>
      </c>
      <c r="H5" s="12">
        <f>EXP(-G5)</f>
        <v>1.2792465124422179E-2</v>
      </c>
      <c r="K5" t="s">
        <v>13</v>
      </c>
      <c r="L5" t="s">
        <v>4</v>
      </c>
      <c r="M5" t="s">
        <v>5</v>
      </c>
      <c r="N5" t="s">
        <v>6</v>
      </c>
      <c r="O5" t="s">
        <v>7</v>
      </c>
    </row>
    <row r="6" spans="2:15">
      <c r="B6" s="10" t="s">
        <v>5</v>
      </c>
      <c r="C6" s="10">
        <v>5.5</v>
      </c>
      <c r="D6" s="10">
        <v>5</v>
      </c>
      <c r="E6" s="10">
        <v>115</v>
      </c>
      <c r="F6" s="10"/>
      <c r="G6" s="10">
        <f t="shared" ref="G6:G24" si="0">SQRT((C6-$C$2)^2+(D6-$D$2)^2+(E6-$E$2)^2)</f>
        <v>6.1846584384264904</v>
      </c>
      <c r="H6" s="12">
        <f t="shared" ref="H6:H24" si="1">EXP(-G6)</f>
        <v>2.0608053243469436E-3</v>
      </c>
      <c r="K6" t="s">
        <v>11</v>
      </c>
      <c r="L6" t="s">
        <v>14</v>
      </c>
      <c r="M6" s="11">
        <f>SUM(H5:H6)</f>
        <v>1.4853270448769123E-2</v>
      </c>
      <c r="N6" t="s">
        <v>14</v>
      </c>
      <c r="O6">
        <f>H7</f>
        <v>7.4814304235975139E-4</v>
      </c>
    </row>
    <row r="7" spans="2:15">
      <c r="B7" s="10" t="s">
        <v>7</v>
      </c>
      <c r="C7" s="10">
        <v>12</v>
      </c>
      <c r="D7" s="10">
        <v>3.1</v>
      </c>
      <c r="E7" s="10">
        <v>110</v>
      </c>
      <c r="F7" s="10"/>
      <c r="G7" s="10">
        <f t="shared" si="0"/>
        <v>7.1979163651712437</v>
      </c>
      <c r="H7" s="12">
        <f t="shared" si="1"/>
        <v>7.4814304235975139E-4</v>
      </c>
      <c r="K7" t="s">
        <v>12</v>
      </c>
      <c r="L7" t="s">
        <v>14</v>
      </c>
      <c r="M7">
        <f>SUM(H5:H6,H9)</f>
        <v>1.4884685586852346E-2</v>
      </c>
      <c r="N7" t="s">
        <v>14</v>
      </c>
      <c r="O7" s="11">
        <f>SUM(H7:H8)</f>
        <v>8.2025467300035724E-4</v>
      </c>
    </row>
    <row r="8" spans="2:15">
      <c r="B8" s="9" t="s">
        <v>7</v>
      </c>
      <c r="C8" s="9">
        <v>15</v>
      </c>
      <c r="D8" s="9">
        <v>2.6</v>
      </c>
      <c r="E8" s="9">
        <v>110</v>
      </c>
      <c r="F8" s="9"/>
      <c r="G8" s="9">
        <f t="shared" si="0"/>
        <v>9.537295214053092</v>
      </c>
      <c r="H8" s="13">
        <f t="shared" si="1"/>
        <v>7.2111630640605832E-5</v>
      </c>
    </row>
    <row r="9" spans="2:15">
      <c r="B9" s="9" t="s">
        <v>5</v>
      </c>
      <c r="C9" s="9">
        <v>5.5</v>
      </c>
      <c r="D9" s="9">
        <v>4.5</v>
      </c>
      <c r="E9" s="9">
        <v>120</v>
      </c>
      <c r="F9" s="9"/>
      <c r="G9" s="9">
        <f t="shared" si="0"/>
        <v>10.36822067666386</v>
      </c>
      <c r="H9" s="13">
        <f t="shared" si="1"/>
        <v>3.1415138083223969E-5</v>
      </c>
    </row>
    <row r="10" spans="2:15">
      <c r="B10" s="8" t="s">
        <v>7</v>
      </c>
      <c r="C10" s="8">
        <v>10</v>
      </c>
      <c r="D10" s="8">
        <v>3</v>
      </c>
      <c r="E10" s="8">
        <v>120</v>
      </c>
      <c r="F10" s="8"/>
      <c r="G10" s="8">
        <f t="shared" si="0"/>
        <v>11</v>
      </c>
      <c r="H10" s="14">
        <f t="shared" si="1"/>
        <v>1.6701700790245659E-5</v>
      </c>
    </row>
    <row r="11" spans="2:15">
      <c r="B11" s="8" t="s">
        <v>5</v>
      </c>
      <c r="C11" s="8">
        <v>5</v>
      </c>
      <c r="D11" s="8">
        <v>5</v>
      </c>
      <c r="E11" s="8">
        <v>100</v>
      </c>
      <c r="F11" s="8"/>
      <c r="G11" s="8">
        <f t="shared" si="0"/>
        <v>12.083045973594572</v>
      </c>
      <c r="H11" s="14">
        <f t="shared" si="1"/>
        <v>5.654572921130961E-6</v>
      </c>
    </row>
    <row r="12" spans="2:15">
      <c r="B12" s="8" t="s">
        <v>7</v>
      </c>
      <c r="C12" s="8">
        <v>14</v>
      </c>
      <c r="D12" s="8">
        <v>3</v>
      </c>
      <c r="E12" s="8">
        <v>120</v>
      </c>
      <c r="F12" s="8"/>
      <c r="G12" s="8">
        <f t="shared" si="0"/>
        <v>12.369316876852981</v>
      </c>
      <c r="H12" s="14">
        <f t="shared" si="1"/>
        <v>4.2469185848567116E-6</v>
      </c>
    </row>
    <row r="13" spans="2:15">
      <c r="B13" s="8" t="s">
        <v>5</v>
      </c>
      <c r="C13" s="8">
        <v>6</v>
      </c>
      <c r="D13" s="8">
        <v>5</v>
      </c>
      <c r="E13" s="8">
        <v>130</v>
      </c>
      <c r="F13" s="8"/>
      <c r="G13" s="8">
        <f t="shared" si="0"/>
        <v>19.519221295943137</v>
      </c>
      <c r="H13" s="14">
        <f t="shared" si="1"/>
        <v>3.3335724641682519E-9</v>
      </c>
    </row>
    <row r="14" spans="2:15">
      <c r="B14" s="8" t="s">
        <v>7</v>
      </c>
      <c r="C14" s="8">
        <v>11</v>
      </c>
      <c r="D14" s="8">
        <v>2.9</v>
      </c>
      <c r="E14" s="8">
        <v>130</v>
      </c>
      <c r="F14" s="8"/>
      <c r="G14" s="8">
        <f t="shared" si="0"/>
        <v>20.179444987412314</v>
      </c>
      <c r="H14" s="14">
        <f t="shared" si="1"/>
        <v>1.7225760080718944E-9</v>
      </c>
    </row>
    <row r="15" spans="2:15">
      <c r="B15" s="8" t="s">
        <v>6</v>
      </c>
      <c r="C15" s="8">
        <v>3</v>
      </c>
      <c r="D15" s="8">
        <v>2</v>
      </c>
      <c r="E15" s="8">
        <v>58</v>
      </c>
      <c r="F15" s="8"/>
      <c r="G15" s="8">
        <f t="shared" si="0"/>
        <v>53.693575034635195</v>
      </c>
      <c r="H15" s="14">
        <f t="shared" si="1"/>
        <v>4.7992861937588635E-24</v>
      </c>
    </row>
    <row r="16" spans="2:15">
      <c r="B16" s="8" t="s">
        <v>6</v>
      </c>
      <c r="C16" s="8">
        <v>2.5</v>
      </c>
      <c r="D16" s="8">
        <v>2.5</v>
      </c>
      <c r="E16" s="8">
        <v>55</v>
      </c>
      <c r="F16" s="8"/>
      <c r="G16" s="8">
        <f t="shared" si="0"/>
        <v>56.643622765497618</v>
      </c>
      <c r="H16" s="14">
        <f t="shared" si="1"/>
        <v>2.511812387604303E-25</v>
      </c>
    </row>
    <row r="17" spans="2:8">
      <c r="B17" s="8" t="s">
        <v>6</v>
      </c>
      <c r="C17" s="8">
        <v>2</v>
      </c>
      <c r="D17" s="8">
        <v>2.5</v>
      </c>
      <c r="E17" s="8">
        <v>52</v>
      </c>
      <c r="F17" s="8"/>
      <c r="G17" s="8">
        <f t="shared" si="0"/>
        <v>59.659450215368224</v>
      </c>
      <c r="H17" s="14">
        <f t="shared" si="1"/>
        <v>1.2309204249151731E-26</v>
      </c>
    </row>
    <row r="18" spans="2:8">
      <c r="B18" s="8" t="s">
        <v>6</v>
      </c>
      <c r="C18" s="8">
        <v>2</v>
      </c>
      <c r="D18" s="8">
        <v>2</v>
      </c>
      <c r="E18" s="8">
        <v>50</v>
      </c>
      <c r="F18" s="8"/>
      <c r="G18" s="8">
        <f t="shared" si="0"/>
        <v>61.692787260748723</v>
      </c>
      <c r="H18" s="14">
        <f t="shared" si="1"/>
        <v>1.6112499594275175E-27</v>
      </c>
    </row>
    <row r="19" spans="2:8">
      <c r="B19" s="8" t="s">
        <v>6</v>
      </c>
      <c r="C19" s="8">
        <v>1.5</v>
      </c>
      <c r="D19" s="8">
        <v>2</v>
      </c>
      <c r="E19" s="8">
        <v>45</v>
      </c>
      <c r="F19" s="8"/>
      <c r="G19" s="8">
        <f t="shared" si="0"/>
        <v>66.687705013742971</v>
      </c>
      <c r="H19" s="14">
        <f t="shared" si="1"/>
        <v>1.0911832774633599E-29</v>
      </c>
    </row>
    <row r="20" spans="2:8">
      <c r="B20" s="8" t="s">
        <v>4</v>
      </c>
      <c r="C20" s="8">
        <v>6</v>
      </c>
      <c r="D20" s="8">
        <v>6</v>
      </c>
      <c r="E20" s="8">
        <v>180</v>
      </c>
      <c r="F20" s="8"/>
      <c r="G20" s="8">
        <f t="shared" si="0"/>
        <v>69.094138680498801</v>
      </c>
      <c r="H20" s="14">
        <f t="shared" si="1"/>
        <v>9.8355089790972931E-31</v>
      </c>
    </row>
    <row r="21" spans="2:8">
      <c r="B21" s="8" t="s">
        <v>4</v>
      </c>
      <c r="C21" s="8">
        <v>6.5</v>
      </c>
      <c r="D21" s="8">
        <v>7</v>
      </c>
      <c r="E21" s="8">
        <v>190</v>
      </c>
      <c r="F21" s="8"/>
      <c r="G21" s="8">
        <f t="shared" si="0"/>
        <v>79.03954706347956</v>
      </c>
      <c r="H21" s="14">
        <f t="shared" si="1"/>
        <v>4.7158595060244521E-35</v>
      </c>
    </row>
    <row r="22" spans="2:8">
      <c r="B22" s="8" t="s">
        <v>4</v>
      </c>
      <c r="C22" s="8">
        <v>7</v>
      </c>
      <c r="D22" s="8">
        <v>8</v>
      </c>
      <c r="E22" s="8">
        <v>200</v>
      </c>
      <c r="F22" s="8"/>
      <c r="G22" s="8">
        <f t="shared" si="0"/>
        <v>89.011235245894667</v>
      </c>
      <c r="H22" s="14">
        <f t="shared" si="1"/>
        <v>2.2024786403575017E-39</v>
      </c>
    </row>
    <row r="23" spans="2:8">
      <c r="B23" s="8" t="s">
        <v>4</v>
      </c>
      <c r="C23" s="8">
        <v>7.5</v>
      </c>
      <c r="D23" s="8">
        <v>8.5</v>
      </c>
      <c r="E23" s="8">
        <v>210</v>
      </c>
      <c r="F23" s="8"/>
      <c r="G23" s="8">
        <f t="shared" si="0"/>
        <v>99.002525220319512</v>
      </c>
      <c r="H23" s="14">
        <f t="shared" si="1"/>
        <v>1.0086711569846878E-43</v>
      </c>
    </row>
    <row r="24" spans="2:8">
      <c r="B24" s="8" t="s">
        <v>4</v>
      </c>
      <c r="C24" s="8">
        <v>8</v>
      </c>
      <c r="D24" s="8">
        <v>9</v>
      </c>
      <c r="E24" s="8">
        <v>220</v>
      </c>
      <c r="F24" s="8"/>
      <c r="G24" s="8">
        <f t="shared" si="0"/>
        <v>109</v>
      </c>
      <c r="H24" s="14">
        <f t="shared" si="1"/>
        <v>4.5909384738829458E-48</v>
      </c>
    </row>
    <row r="27" spans="2:8">
      <c r="C27">
        <f>MIN(C5:C24)</f>
        <v>1.5</v>
      </c>
      <c r="D27">
        <f t="shared" ref="D27:H27" si="2">MIN(D5:D24)</f>
        <v>2</v>
      </c>
      <c r="E27">
        <f t="shared" si="2"/>
        <v>45</v>
      </c>
      <c r="F27">
        <f t="shared" si="2"/>
        <v>0</v>
      </c>
      <c r="G27">
        <f t="shared" si="2"/>
        <v>4.358898943540674</v>
      </c>
      <c r="H27">
        <f t="shared" si="2"/>
        <v>4.5909384738829458E-48</v>
      </c>
    </row>
    <row r="28" spans="2:8">
      <c r="C28">
        <f>MAX(C5:C24)</f>
        <v>15</v>
      </c>
      <c r="D28">
        <f t="shared" ref="D28:H28" si="3">MAX(D5:D24)</f>
        <v>9</v>
      </c>
      <c r="E28">
        <f t="shared" si="3"/>
        <v>220</v>
      </c>
      <c r="F28">
        <f t="shared" si="3"/>
        <v>0</v>
      </c>
      <c r="G28">
        <f t="shared" si="3"/>
        <v>109</v>
      </c>
      <c r="H28">
        <f t="shared" si="3"/>
        <v>1.2792465124422179E-2</v>
      </c>
    </row>
  </sheetData>
  <autoFilter ref="B4:G24" xr:uid="{8382F896-894D-48FB-A7A2-9D732FE1225A}">
    <sortState xmlns:xlrd2="http://schemas.microsoft.com/office/spreadsheetml/2017/richdata2" ref="B5:G24">
      <sortCondition ref="G4:G24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3012-9B72-4A63-9E8D-5ED1A2631577}">
  <dimension ref="B1:M11"/>
  <sheetViews>
    <sheetView workbookViewId="0">
      <selection activeCell="K23" sqref="K23"/>
    </sheetView>
  </sheetViews>
  <sheetFormatPr defaultRowHeight="16.5"/>
  <cols>
    <col min="4" max="4" width="13.25" customWidth="1"/>
    <col min="7" max="7" width="11.125" bestFit="1" customWidth="1"/>
    <col min="8" max="8" width="11.125" customWidth="1"/>
    <col min="11" max="11" width="9.25" bestFit="1" customWidth="1"/>
    <col min="13" max="13" width="13.125" bestFit="1" customWidth="1"/>
  </cols>
  <sheetData>
    <row r="1" spans="2:13" ht="17.25" thickBot="1"/>
    <row r="2" spans="2:13" ht="17.25" thickBot="1">
      <c r="B2" s="5" t="s">
        <v>27</v>
      </c>
      <c r="C2" s="6">
        <v>6</v>
      </c>
      <c r="D2" s="6">
        <v>200</v>
      </c>
      <c r="E2" s="6">
        <v>5</v>
      </c>
      <c r="F2" s="6">
        <v>30</v>
      </c>
      <c r="G2" s="6"/>
      <c r="H2" s="6"/>
      <c r="I2" s="7" t="s">
        <v>28</v>
      </c>
    </row>
    <row r="4" spans="2:13" ht="17.25" thickBot="1"/>
    <row r="5" spans="2:13" ht="17.25" thickBot="1">
      <c r="B5" s="15" t="s">
        <v>15</v>
      </c>
      <c r="C5" s="16" t="s">
        <v>16</v>
      </c>
      <c r="D5" s="16" t="s">
        <v>17</v>
      </c>
      <c r="E5" s="16" t="s">
        <v>18</v>
      </c>
      <c r="F5" s="16" t="s">
        <v>19</v>
      </c>
      <c r="G5" s="16" t="s">
        <v>29</v>
      </c>
      <c r="H5" s="16" t="s">
        <v>10</v>
      </c>
      <c r="I5" s="16" t="s">
        <v>20</v>
      </c>
    </row>
    <row r="6" spans="2:13" ht="17.25" thickBot="1">
      <c r="B6" s="1" t="s">
        <v>21</v>
      </c>
      <c r="C6" s="2">
        <v>2</v>
      </c>
      <c r="D6" s="2">
        <v>200</v>
      </c>
      <c r="E6" s="2">
        <v>4</v>
      </c>
      <c r="F6" s="2">
        <v>27</v>
      </c>
      <c r="G6" s="18">
        <f t="shared" ref="G6:G11" si="0">SQRT(SUMXMY2(C6:F6,$C$2:$F$2))</f>
        <v>5.0990195135927845</v>
      </c>
      <c r="H6" s="17">
        <f>EXP(-G6)</f>
        <v>6.1027272741740034E-3</v>
      </c>
      <c r="I6" s="4">
        <v>30000</v>
      </c>
      <c r="K6" s="3">
        <f>AVERAGE(I6:I8)</f>
        <v>28666.666666666668</v>
      </c>
      <c r="M6" s="11">
        <f>SUMPRODUCT(I6:I8,H6:H8)/SUM(H6:H8)</f>
        <v>30004.999382854297</v>
      </c>
    </row>
    <row r="7" spans="2:13" ht="17.25" thickBot="1">
      <c r="B7" s="1" t="s">
        <v>26</v>
      </c>
      <c r="C7" s="2">
        <v>4</v>
      </c>
      <c r="D7" s="2">
        <v>210</v>
      </c>
      <c r="E7" s="2">
        <v>3</v>
      </c>
      <c r="F7" s="2">
        <v>30</v>
      </c>
      <c r="G7" s="18">
        <f t="shared" si="0"/>
        <v>10.392304845413264</v>
      </c>
      <c r="H7" s="17">
        <f t="shared" ref="H7:H11" si="1">EXP(-G7)</f>
        <v>3.0667569021157886E-5</v>
      </c>
      <c r="I7" s="4">
        <v>31000</v>
      </c>
      <c r="K7" s="3">
        <f>AVERAGE(I6:I10)</f>
        <v>29000</v>
      </c>
      <c r="M7" s="11">
        <f>SUMPRODUCT(I6:I10,H6:H10)/SUM(H6:H10)</f>
        <v>30004.999630762581</v>
      </c>
    </row>
    <row r="8" spans="2:13" ht="17.25" thickBot="1">
      <c r="B8" s="1" t="s">
        <v>23</v>
      </c>
      <c r="C8" s="2">
        <v>3</v>
      </c>
      <c r="D8" s="2">
        <v>180</v>
      </c>
      <c r="E8" s="2">
        <v>4</v>
      </c>
      <c r="F8" s="2">
        <v>25</v>
      </c>
      <c r="G8" s="18">
        <f t="shared" si="0"/>
        <v>20.85665361461421</v>
      </c>
      <c r="H8" s="17">
        <f t="shared" si="1"/>
        <v>8.7512567211111485E-10</v>
      </c>
      <c r="I8" s="4">
        <v>25000</v>
      </c>
    </row>
    <row r="9" spans="2:13" ht="17.25" thickBot="1">
      <c r="B9" s="1" t="s">
        <v>25</v>
      </c>
      <c r="C9" s="2">
        <v>5</v>
      </c>
      <c r="D9" s="2">
        <v>180</v>
      </c>
      <c r="E9" s="2">
        <v>5</v>
      </c>
      <c r="F9" s="2">
        <v>40</v>
      </c>
      <c r="G9" s="18">
        <f t="shared" si="0"/>
        <v>22.383029285599392</v>
      </c>
      <c r="H9" s="17">
        <f t="shared" si="1"/>
        <v>1.9018396305356362E-10</v>
      </c>
      <c r="I9" s="4">
        <v>38000</v>
      </c>
    </row>
    <row r="10" spans="2:13" ht="17.25" thickBot="1">
      <c r="B10" s="1" t="s">
        <v>24</v>
      </c>
      <c r="C10" s="2">
        <v>1</v>
      </c>
      <c r="D10" s="2">
        <v>230</v>
      </c>
      <c r="E10" s="2">
        <v>2</v>
      </c>
      <c r="F10" s="2">
        <v>10</v>
      </c>
      <c r="G10" s="18">
        <f t="shared" si="0"/>
        <v>36.523964735499348</v>
      </c>
      <c r="H10" s="17">
        <f t="shared" si="1"/>
        <v>1.3735474220766241E-16</v>
      </c>
      <c r="I10" s="4">
        <v>21000</v>
      </c>
    </row>
    <row r="11" spans="2:13" ht="17.25" thickBot="1">
      <c r="B11" s="1" t="s">
        <v>22</v>
      </c>
      <c r="C11" s="2">
        <v>5</v>
      </c>
      <c r="D11" s="2">
        <v>150</v>
      </c>
      <c r="E11" s="2">
        <v>3</v>
      </c>
      <c r="F11" s="2">
        <v>35</v>
      </c>
      <c r="G11" s="18">
        <f t="shared" si="0"/>
        <v>50.299105359837164</v>
      </c>
      <c r="H11" s="17">
        <f t="shared" si="1"/>
        <v>1.4301319118006315E-22</v>
      </c>
      <c r="I11" s="4">
        <v>20000</v>
      </c>
    </row>
  </sheetData>
  <autoFilter ref="B5:I11" xr:uid="{2BCF3012-9B72-4A63-9E8D-5ED1A2631577}">
    <sortState xmlns:xlrd2="http://schemas.microsoft.com/office/spreadsheetml/2017/richdata2" ref="B6:I11">
      <sortCondition ref="G5:G1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7B35-C590-4CD3-B259-81E03903C566}">
  <dimension ref="B1:M17"/>
  <sheetViews>
    <sheetView workbookViewId="0">
      <selection activeCell="N21" sqref="N21"/>
    </sheetView>
  </sheetViews>
  <sheetFormatPr defaultRowHeight="16.5"/>
  <cols>
    <col min="11" max="11" width="9.875" bestFit="1" customWidth="1"/>
    <col min="12" max="12" width="9.125" bestFit="1" customWidth="1"/>
  </cols>
  <sheetData>
    <row r="1" spans="2:13" ht="17.25" thickBot="1"/>
    <row r="2" spans="2:13" ht="17.25" thickBot="1">
      <c r="B2" s="19" t="s">
        <v>15</v>
      </c>
      <c r="C2" s="20" t="s">
        <v>16</v>
      </c>
      <c r="D2" s="20" t="s">
        <v>30</v>
      </c>
      <c r="E2" s="20" t="s">
        <v>18</v>
      </c>
      <c r="F2" s="20" t="s">
        <v>19</v>
      </c>
      <c r="G2" s="20" t="s">
        <v>20</v>
      </c>
    </row>
    <row r="3" spans="2:13" ht="17.25" thickBot="1">
      <c r="B3" s="1" t="s">
        <v>21</v>
      </c>
      <c r="C3" s="2">
        <v>2</v>
      </c>
      <c r="D3" s="2">
        <v>200</v>
      </c>
      <c r="E3" s="2">
        <v>4</v>
      </c>
      <c r="F3" s="2">
        <v>27</v>
      </c>
      <c r="G3" s="4">
        <v>30000</v>
      </c>
      <c r="J3">
        <f>1</f>
        <v>1</v>
      </c>
      <c r="K3">
        <f>E3*SQRT(F3)</f>
        <v>20.784609690826528</v>
      </c>
      <c r="L3">
        <f>LN(D3)</f>
        <v>5.2983173665480363</v>
      </c>
      <c r="M3">
        <f>D3/C3</f>
        <v>100</v>
      </c>
    </row>
    <row r="4" spans="2:13" ht="17.25" thickBot="1">
      <c r="B4" s="1" t="s">
        <v>22</v>
      </c>
      <c r="C4" s="2">
        <v>5</v>
      </c>
      <c r="D4" s="2">
        <v>150</v>
      </c>
      <c r="E4" s="2">
        <v>3</v>
      </c>
      <c r="F4" s="2">
        <v>35</v>
      </c>
      <c r="G4" s="4">
        <v>20000</v>
      </c>
      <c r="J4">
        <f>1</f>
        <v>1</v>
      </c>
      <c r="K4">
        <f t="shared" ref="K4:K8" si="0">E4*SQRT(F4)</f>
        <v>17.748239349298849</v>
      </c>
      <c r="L4">
        <f t="shared" ref="L4:L8" si="1">LN(D4)</f>
        <v>5.0106352940962555</v>
      </c>
      <c r="M4">
        <f t="shared" ref="M4:M8" si="2">D4/C4</f>
        <v>30</v>
      </c>
    </row>
    <row r="5" spans="2:13" ht="17.25" thickBot="1">
      <c r="B5" s="1" t="s">
        <v>23</v>
      </c>
      <c r="C5" s="2">
        <v>3</v>
      </c>
      <c r="D5" s="2">
        <v>180</v>
      </c>
      <c r="E5" s="2">
        <v>4</v>
      </c>
      <c r="F5" s="2">
        <v>25</v>
      </c>
      <c r="G5" s="4">
        <v>25000</v>
      </c>
      <c r="J5">
        <f>1</f>
        <v>1</v>
      </c>
      <c r="K5">
        <f t="shared" si="0"/>
        <v>20</v>
      </c>
      <c r="L5">
        <f t="shared" si="1"/>
        <v>5.1929568508902104</v>
      </c>
      <c r="M5">
        <f t="shared" si="2"/>
        <v>60</v>
      </c>
    </row>
    <row r="6" spans="2:13" ht="17.25" thickBot="1">
      <c r="B6" s="1" t="s">
        <v>24</v>
      </c>
      <c r="C6" s="2">
        <v>1</v>
      </c>
      <c r="D6" s="2">
        <v>230</v>
      </c>
      <c r="E6" s="2">
        <v>2</v>
      </c>
      <c r="F6" s="2">
        <v>10</v>
      </c>
      <c r="G6" s="4">
        <v>21000</v>
      </c>
      <c r="J6">
        <f>1</f>
        <v>1</v>
      </c>
      <c r="K6">
        <f t="shared" si="0"/>
        <v>6.324555320336759</v>
      </c>
      <c r="L6">
        <f t="shared" si="1"/>
        <v>5.4380793089231956</v>
      </c>
      <c r="M6">
        <f t="shared" si="2"/>
        <v>230</v>
      </c>
    </row>
    <row r="7" spans="2:13" ht="17.25" thickBot="1">
      <c r="B7" s="1" t="s">
        <v>25</v>
      </c>
      <c r="C7" s="2">
        <v>5</v>
      </c>
      <c r="D7" s="2">
        <v>180</v>
      </c>
      <c r="E7" s="2">
        <v>5</v>
      </c>
      <c r="F7" s="2">
        <v>40</v>
      </c>
      <c r="G7" s="4">
        <v>38000</v>
      </c>
      <c r="J7">
        <f>1</f>
        <v>1</v>
      </c>
      <c r="K7">
        <f t="shared" si="0"/>
        <v>31.622776601683796</v>
      </c>
      <c r="L7">
        <f t="shared" si="1"/>
        <v>5.1929568508902104</v>
      </c>
      <c r="M7">
        <f t="shared" si="2"/>
        <v>36</v>
      </c>
    </row>
    <row r="8" spans="2:13" ht="17.25" thickBot="1">
      <c r="B8" s="1" t="s">
        <v>26</v>
      </c>
      <c r="C8" s="2">
        <v>4</v>
      </c>
      <c r="D8" s="2">
        <v>210</v>
      </c>
      <c r="E8" s="2">
        <v>3</v>
      </c>
      <c r="F8" s="2">
        <v>30</v>
      </c>
      <c r="G8" s="4">
        <v>31000</v>
      </c>
      <c r="J8">
        <f>1</f>
        <v>1</v>
      </c>
      <c r="K8">
        <f t="shared" si="0"/>
        <v>16.431676725154983</v>
      </c>
      <c r="L8">
        <f t="shared" si="1"/>
        <v>5.3471075307174685</v>
      </c>
      <c r="M8">
        <f t="shared" si="2"/>
        <v>52.5</v>
      </c>
    </row>
    <row r="12" spans="2:13">
      <c r="J12">
        <v>1</v>
      </c>
      <c r="K12" s="21">
        <v>20.784609690826528</v>
      </c>
      <c r="L12" s="21">
        <v>5.2983173665480363</v>
      </c>
      <c r="M12">
        <v>100</v>
      </c>
    </row>
    <row r="13" spans="2:13">
      <c r="J13">
        <v>1</v>
      </c>
      <c r="K13" s="21">
        <v>17.748239349298849</v>
      </c>
      <c r="L13" s="21">
        <v>5.0106352940962555</v>
      </c>
      <c r="M13">
        <v>30</v>
      </c>
    </row>
    <row r="14" spans="2:13">
      <c r="J14">
        <v>1</v>
      </c>
      <c r="K14" s="21">
        <v>20</v>
      </c>
      <c r="L14" s="21">
        <v>5.1929568508902104</v>
      </c>
      <c r="M14">
        <v>60</v>
      </c>
    </row>
    <row r="15" spans="2:13">
      <c r="J15">
        <v>1</v>
      </c>
      <c r="K15" s="21">
        <v>6.3245553203367599</v>
      </c>
      <c r="L15" s="21">
        <v>5.4380793089232</v>
      </c>
      <c r="M15">
        <v>230</v>
      </c>
    </row>
    <row r="16" spans="2:13">
      <c r="J16">
        <v>1</v>
      </c>
      <c r="K16" s="21">
        <v>31.622776601683796</v>
      </c>
      <c r="L16" s="21">
        <v>5.1929568508902104</v>
      </c>
      <c r="M16">
        <v>36</v>
      </c>
    </row>
    <row r="17" spans="10:13">
      <c r="J17">
        <v>1</v>
      </c>
      <c r="K17" s="21">
        <v>16.431676725154983</v>
      </c>
      <c r="L17" s="21">
        <v>5.3471075307174685</v>
      </c>
      <c r="M17">
        <v>52.5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A2D0-C90A-4033-8C02-8DB92F8103C4}">
  <dimension ref="A2:L44"/>
  <sheetViews>
    <sheetView workbookViewId="0">
      <selection activeCell="L42" sqref="L42"/>
    </sheetView>
  </sheetViews>
  <sheetFormatPr defaultRowHeight="16.5"/>
  <sheetData>
    <row r="2" spans="1:10">
      <c r="B2" t="s">
        <v>1</v>
      </c>
      <c r="C2" t="s">
        <v>2</v>
      </c>
      <c r="D2" t="s">
        <v>31</v>
      </c>
    </row>
    <row r="3" spans="1:10">
      <c r="A3" t="s">
        <v>32</v>
      </c>
      <c r="B3">
        <v>1</v>
      </c>
      <c r="C3">
        <v>1</v>
      </c>
      <c r="D3">
        <v>3</v>
      </c>
    </row>
    <row r="4" spans="1:10">
      <c r="B4">
        <v>2</v>
      </c>
      <c r="C4">
        <v>3</v>
      </c>
      <c r="D4">
        <v>5.2</v>
      </c>
    </row>
    <row r="5" spans="1:10">
      <c r="B5">
        <v>3</v>
      </c>
      <c r="C5">
        <v>1</v>
      </c>
      <c r="D5">
        <v>2.8</v>
      </c>
    </row>
    <row r="6" spans="1:10">
      <c r="B6">
        <v>4</v>
      </c>
      <c r="C6">
        <v>4</v>
      </c>
      <c r="D6">
        <v>5</v>
      </c>
    </row>
    <row r="8" spans="1:10">
      <c r="A8" t="s">
        <v>33</v>
      </c>
      <c r="B8">
        <v>5</v>
      </c>
      <c r="C8">
        <v>4</v>
      </c>
      <c r="D8">
        <v>4.3</v>
      </c>
    </row>
    <row r="9" spans="1:10">
      <c r="B9">
        <v>6</v>
      </c>
      <c r="C9">
        <v>2</v>
      </c>
      <c r="D9">
        <v>3.4</v>
      </c>
    </row>
    <row r="10" spans="1:10">
      <c r="B10">
        <v>8</v>
      </c>
      <c r="C10">
        <v>3</v>
      </c>
      <c r="D10">
        <v>3.1</v>
      </c>
    </row>
    <row r="13" spans="1:10">
      <c r="A13" t="s">
        <v>4</v>
      </c>
      <c r="G13" t="s">
        <v>34</v>
      </c>
      <c r="H13" t="s">
        <v>35</v>
      </c>
      <c r="I13" t="s">
        <v>36</v>
      </c>
      <c r="J13" t="s">
        <v>37</v>
      </c>
    </row>
    <row r="14" spans="1:10">
      <c r="A14" t="s">
        <v>32</v>
      </c>
      <c r="B14" t="s">
        <v>1</v>
      </c>
      <c r="C14" t="s">
        <v>2</v>
      </c>
      <c r="D14" t="s">
        <v>31</v>
      </c>
      <c r="G14">
        <v>4</v>
      </c>
      <c r="H14">
        <v>0.2</v>
      </c>
      <c r="I14">
        <v>-0.3</v>
      </c>
      <c r="J14">
        <v>0.04</v>
      </c>
    </row>
    <row r="15" spans="1:10">
      <c r="B15">
        <f t="shared" ref="B15:C18" si="0">B3</f>
        <v>1</v>
      </c>
      <c r="C15">
        <f t="shared" si="0"/>
        <v>1</v>
      </c>
      <c r="D15">
        <f>$G$14+$H$14*B15+$I$14*C15+$J$14*B15^2</f>
        <v>3.9400000000000004</v>
      </c>
      <c r="E15">
        <f>(D3-D15)^2</f>
        <v>0.88360000000000072</v>
      </c>
    </row>
    <row r="16" spans="1:10">
      <c r="B16">
        <f t="shared" si="0"/>
        <v>2</v>
      </c>
      <c r="C16">
        <f t="shared" si="0"/>
        <v>3</v>
      </c>
      <c r="D16">
        <f t="shared" ref="D16:D18" si="1">$G$14+$H$14*B16+$I$14*C16+$J$14*B16^2</f>
        <v>3.6600000000000006</v>
      </c>
      <c r="E16">
        <f t="shared" ref="E16:E22" si="2">(D4-D16)^2</f>
        <v>2.3715999999999986</v>
      </c>
    </row>
    <row r="17" spans="1:10">
      <c r="B17">
        <f t="shared" si="0"/>
        <v>3</v>
      </c>
      <c r="C17">
        <f t="shared" si="0"/>
        <v>1</v>
      </c>
      <c r="D17">
        <f t="shared" si="1"/>
        <v>4.66</v>
      </c>
      <c r="E17">
        <f t="shared" si="2"/>
        <v>3.4596000000000013</v>
      </c>
    </row>
    <row r="18" spans="1:10">
      <c r="B18">
        <f t="shared" si="0"/>
        <v>4</v>
      </c>
      <c r="C18">
        <f t="shared" si="0"/>
        <v>4</v>
      </c>
      <c r="D18">
        <f t="shared" si="1"/>
        <v>4.2399999999999993</v>
      </c>
      <c r="E18">
        <f t="shared" si="2"/>
        <v>0.577600000000001</v>
      </c>
      <c r="G18" t="s">
        <v>40</v>
      </c>
      <c r="H18">
        <f>AVERAGE(E15:E18)</f>
        <v>1.8231000000000004</v>
      </c>
    </row>
    <row r="20" spans="1:10">
      <c r="A20" t="s">
        <v>33</v>
      </c>
      <c r="B20">
        <f t="shared" ref="B20:C20" si="3">B8</f>
        <v>5</v>
      </c>
      <c r="C20">
        <f t="shared" si="3"/>
        <v>4</v>
      </c>
      <c r="D20">
        <f>$G$14+$H$14*B20+$I$14*C20+$J$14*B20^2</f>
        <v>4.8</v>
      </c>
      <c r="E20">
        <f t="shared" si="2"/>
        <v>0.25</v>
      </c>
    </row>
    <row r="21" spans="1:10">
      <c r="B21">
        <f t="shared" ref="B21:C21" si="4">B9</f>
        <v>6</v>
      </c>
      <c r="C21">
        <f t="shared" si="4"/>
        <v>2</v>
      </c>
      <c r="D21">
        <f>$G$14+$H$14*B21+$I$14*C21+$J$14*B21^2</f>
        <v>6.0400000000000009</v>
      </c>
      <c r="E21">
        <f t="shared" si="2"/>
        <v>6.9696000000000051</v>
      </c>
    </row>
    <row r="22" spans="1:10">
      <c r="B22">
        <f t="shared" ref="B22:C22" si="5">B10</f>
        <v>8</v>
      </c>
      <c r="C22">
        <f t="shared" si="5"/>
        <v>3</v>
      </c>
      <c r="D22">
        <f>$G$14+$H$14*B22+$I$14*C22+$J$14*B22^2</f>
        <v>7.26</v>
      </c>
      <c r="E22">
        <f t="shared" si="2"/>
        <v>17.305600000000002</v>
      </c>
      <c r="G22" t="s">
        <v>40</v>
      </c>
      <c r="H22">
        <f>AVERAGE(E20:E22)</f>
        <v>8.1750666666666678</v>
      </c>
    </row>
    <row r="24" spans="1:10">
      <c r="A24" t="s">
        <v>5</v>
      </c>
    </row>
    <row r="25" spans="1:10">
      <c r="A25" t="s">
        <v>32</v>
      </c>
      <c r="B25" t="s">
        <v>1</v>
      </c>
      <c r="C25" t="s">
        <v>2</v>
      </c>
      <c r="D25" t="s">
        <v>31</v>
      </c>
      <c r="G25" t="s">
        <v>34</v>
      </c>
      <c r="H25" t="s">
        <v>35</v>
      </c>
      <c r="I25" t="s">
        <v>36</v>
      </c>
      <c r="J25" t="s">
        <v>37</v>
      </c>
    </row>
    <row r="26" spans="1:10">
      <c r="B26">
        <f>B3</f>
        <v>1</v>
      </c>
      <c r="C26">
        <f>C3</f>
        <v>1</v>
      </c>
      <c r="D26">
        <f>$G$26*EXP(-$H$26*B26)+$I$26*C26+$J$26</f>
        <v>3.228096129616973</v>
      </c>
      <c r="E26">
        <f>(D3-D26)^2</f>
        <v>5.2027844346242955E-2</v>
      </c>
      <c r="G26">
        <v>1.5</v>
      </c>
      <c r="H26">
        <v>0.2</v>
      </c>
      <c r="I26">
        <v>1</v>
      </c>
      <c r="J26">
        <v>1</v>
      </c>
    </row>
    <row r="27" spans="1:10">
      <c r="B27">
        <f t="shared" ref="B27:C27" si="6">B4</f>
        <v>2</v>
      </c>
      <c r="C27">
        <f t="shared" si="6"/>
        <v>3</v>
      </c>
      <c r="D27">
        <f>$G$26*EXP(-$H$26*B27)+$I$26*C27+$J$26</f>
        <v>5.0054800690534584</v>
      </c>
      <c r="E27">
        <f t="shared" ref="E27:E33" si="7">(D4-D27)^2</f>
        <v>3.7838003535447369E-2</v>
      </c>
    </row>
    <row r="28" spans="1:10">
      <c r="B28">
        <f t="shared" ref="B28:C28" si="8">B5</f>
        <v>3</v>
      </c>
      <c r="C28">
        <f t="shared" si="8"/>
        <v>1</v>
      </c>
      <c r="D28">
        <f>$G$26*EXP(-$H$26*B28)+$I$26*C28+$J$26</f>
        <v>2.8232174541410395</v>
      </c>
      <c r="E28">
        <f t="shared" si="7"/>
        <v>5.3905017679128182E-4</v>
      </c>
    </row>
    <row r="29" spans="1:10">
      <c r="B29">
        <f t="shared" ref="B29:C29" si="9">B6</f>
        <v>4</v>
      </c>
      <c r="C29">
        <f t="shared" si="9"/>
        <v>4</v>
      </c>
      <c r="D29">
        <f>$G$26*EXP(-$H$26*B29)+$I$26*C29+$J$26</f>
        <v>5.6739934461758326</v>
      </c>
      <c r="E29">
        <f t="shared" si="7"/>
        <v>0.45426716548797491</v>
      </c>
      <c r="G29" t="s">
        <v>40</v>
      </c>
      <c r="H29">
        <f>AVERAGE(E26:E29)</f>
        <v>0.13616801588661412</v>
      </c>
    </row>
    <row r="31" spans="1:10">
      <c r="A31" t="s">
        <v>33</v>
      </c>
      <c r="B31">
        <f t="shared" ref="B31:C31" si="10">B8</f>
        <v>5</v>
      </c>
      <c r="C31">
        <f t="shared" si="10"/>
        <v>4</v>
      </c>
      <c r="D31">
        <f>$G$26*EXP(-$H$26*B31)+$I$26*C31+$J$26</f>
        <v>5.5518191617571633</v>
      </c>
      <c r="E31">
        <f t="shared" si="7"/>
        <v>1.5670512137424073</v>
      </c>
    </row>
    <row r="32" spans="1:10">
      <c r="B32">
        <f t="shared" ref="B32:C32" si="11">B9</f>
        <v>6</v>
      </c>
      <c r="C32">
        <f t="shared" si="11"/>
        <v>2</v>
      </c>
      <c r="D32">
        <f>$G$26*EXP(-$H$26*B32)+$I$26*C32+$J$26</f>
        <v>3.4517913178683033</v>
      </c>
      <c r="E32">
        <f t="shared" si="7"/>
        <v>2.6823406065356408E-3</v>
      </c>
    </row>
    <row r="33" spans="1:12">
      <c r="B33">
        <f t="shared" ref="B33:C33" si="12">B10</f>
        <v>8</v>
      </c>
      <c r="C33">
        <f t="shared" si="12"/>
        <v>3</v>
      </c>
      <c r="D33">
        <f>$G$26*EXP(-$H$26*B33)+$I$26*C33+$J$26</f>
        <v>4.3028447769919831</v>
      </c>
      <c r="E33">
        <f t="shared" si="7"/>
        <v>1.4468355575368934</v>
      </c>
      <c r="G33" t="s">
        <v>40</v>
      </c>
      <c r="H33">
        <f>AVERAGE(E31:E33)</f>
        <v>1.0055230372952788</v>
      </c>
    </row>
    <row r="35" spans="1:12">
      <c r="A35" t="s">
        <v>6</v>
      </c>
    </row>
    <row r="36" spans="1:12">
      <c r="A36" t="s">
        <v>32</v>
      </c>
      <c r="B36" t="s">
        <v>1</v>
      </c>
      <c r="C36" t="s">
        <v>2</v>
      </c>
      <c r="D36" t="s">
        <v>31</v>
      </c>
      <c r="G36" t="s">
        <v>34</v>
      </c>
      <c r="H36" t="s">
        <v>35</v>
      </c>
      <c r="I36" t="s">
        <v>36</v>
      </c>
      <c r="J36" t="s">
        <v>37</v>
      </c>
      <c r="K36" t="s">
        <v>38</v>
      </c>
      <c r="L36" t="s">
        <v>39</v>
      </c>
    </row>
    <row r="37" spans="1:12">
      <c r="B37">
        <f>B3</f>
        <v>1</v>
      </c>
      <c r="C37">
        <f>C3</f>
        <v>1</v>
      </c>
      <c r="D37">
        <f>$G$37+$H$37*COS(PI()*B37)+$I$37*EXP(-$J$37*C37)+$K$37*LN(B37)+$L$37*B37*C37</f>
        <v>2.6126545765453746</v>
      </c>
      <c r="E37">
        <f>(D3-D37)^2</f>
        <v>0.15003647707124307</v>
      </c>
      <c r="G37">
        <v>3</v>
      </c>
      <c r="H37">
        <v>1</v>
      </c>
      <c r="I37">
        <v>0.8</v>
      </c>
      <c r="J37">
        <v>0.3</v>
      </c>
      <c r="K37">
        <v>0.3</v>
      </c>
      <c r="L37">
        <v>0.02</v>
      </c>
    </row>
    <row r="38" spans="1:12">
      <c r="B38">
        <f t="shared" ref="B38:C38" si="13">B4</f>
        <v>2</v>
      </c>
      <c r="C38">
        <f t="shared" si="13"/>
        <v>3</v>
      </c>
      <c r="D38">
        <f>$G$37+$H$37*COS(PI()*B38)+$I$37*EXP(-$J$37*C38)+$K$37*LN(B38)+$L$37*B38*C38</f>
        <v>4.6531998819604627</v>
      </c>
      <c r="E38">
        <f t="shared" ref="E38:E44" si="14">(D4-D38)^2</f>
        <v>0.29899036908805204</v>
      </c>
    </row>
    <row r="39" spans="1:12">
      <c r="B39">
        <f t="shared" ref="B39:C39" si="15">B5</f>
        <v>3</v>
      </c>
      <c r="C39">
        <f t="shared" si="15"/>
        <v>1</v>
      </c>
      <c r="D39">
        <f>$G$37+$H$37*COS(PI()*B39)+$I$37*EXP(-$J$37*C39)+$K$37*LN(B39)+$L$37*B39*C39</f>
        <v>2.9822382631458075</v>
      </c>
      <c r="E39">
        <f t="shared" si="14"/>
        <v>3.3210784554400657E-2</v>
      </c>
    </row>
    <row r="40" spans="1:12">
      <c r="B40">
        <f>B6</f>
        <v>4</v>
      </c>
      <c r="C40">
        <f t="shared" ref="C40" si="16">C6</f>
        <v>4</v>
      </c>
      <c r="D40">
        <f>$G$37+$H$37*COS(PI()*B40)+$I$37*EXP(-$J$37*C40)+$K$37*LN(B40)+$L$37*B40*C40</f>
        <v>4.9768436778657295</v>
      </c>
      <c r="E40">
        <f t="shared" si="14"/>
        <v>5.3621525478610805E-4</v>
      </c>
      <c r="G40" t="s">
        <v>40</v>
      </c>
      <c r="H40">
        <f>AVERAGE(E37:E40)</f>
        <v>0.12069346149212046</v>
      </c>
    </row>
    <row r="42" spans="1:12">
      <c r="A42" t="s">
        <v>33</v>
      </c>
      <c r="B42">
        <f t="shared" ref="B42:C42" si="17">B8</f>
        <v>5</v>
      </c>
      <c r="C42">
        <f t="shared" si="17"/>
        <v>4</v>
      </c>
      <c r="D42">
        <f>$G$37+$H$37*COS(PI()*B42)+$I$37*EXP(-$J$37*C42)+$K$37*LN(B42)+$L$37*B42*C42</f>
        <v>3.1237867432599917</v>
      </c>
      <c r="E42">
        <f t="shared" si="14"/>
        <v>1.3834776253309362</v>
      </c>
    </row>
    <row r="43" spans="1:12">
      <c r="B43">
        <f t="shared" ref="B43:C43" si="18">B9</f>
        <v>6</v>
      </c>
      <c r="C43">
        <f t="shared" si="18"/>
        <v>2</v>
      </c>
      <c r="D43">
        <f>$G$37+$H$37*COS(PI()*B43)+$I$37*EXP(-$J$37*C43)+$K$37*LN(B43)+$L$37*B43*C43</f>
        <v>5.2165771496436379</v>
      </c>
      <c r="E43">
        <f t="shared" si="14"/>
        <v>3.2999525406074044</v>
      </c>
    </row>
    <row r="44" spans="1:12">
      <c r="B44">
        <f t="shared" ref="B44:C44" si="19">B10</f>
        <v>8</v>
      </c>
      <c r="C44">
        <f t="shared" si="19"/>
        <v>3</v>
      </c>
      <c r="D44">
        <f>$G$37+$H$37*COS(PI()*B44)+$I$37*EXP(-$J$37*C44)+$K$37*LN(B44)+$L$37*B44*C44</f>
        <v>5.4290881902964294</v>
      </c>
      <c r="E44">
        <f t="shared" si="14"/>
        <v>5.4246517981782958</v>
      </c>
      <c r="G44" t="s">
        <v>40</v>
      </c>
      <c r="H44">
        <f>AVERAGE(E42:E44)</f>
        <v>3.3693606547055452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1DDA-F046-4547-91E4-E3FE9FE2DF49}">
  <dimension ref="B1:L16"/>
  <sheetViews>
    <sheetView workbookViewId="0">
      <selection activeCell="I24" sqref="I24"/>
    </sheetView>
  </sheetViews>
  <sheetFormatPr defaultRowHeight="16.5"/>
  <cols>
    <col min="9" max="9" width="10.5" bestFit="1" customWidth="1"/>
    <col min="10" max="12" width="9.875" bestFit="1" customWidth="1"/>
  </cols>
  <sheetData>
    <row r="1" spans="2:12" ht="17.25" thickBot="1"/>
    <row r="2" spans="2:12" ht="17.25" thickBot="1">
      <c r="B2" s="22" t="s">
        <v>42</v>
      </c>
      <c r="C2" s="23" t="s">
        <v>43</v>
      </c>
      <c r="D2" s="23" t="s">
        <v>44</v>
      </c>
      <c r="E2" s="23" t="s">
        <v>45</v>
      </c>
      <c r="F2" s="23" t="s">
        <v>46</v>
      </c>
      <c r="G2" s="23" t="s">
        <v>47</v>
      </c>
      <c r="I2" s="24"/>
      <c r="J2" s="25" t="s">
        <v>51</v>
      </c>
      <c r="K2" s="25" t="s">
        <v>52</v>
      </c>
      <c r="L2" s="26" t="s">
        <v>53</v>
      </c>
    </row>
    <row r="3" spans="2:12" ht="17.25" thickBot="1">
      <c r="B3" s="61" t="s">
        <v>41</v>
      </c>
      <c r="C3" s="2">
        <v>1</v>
      </c>
      <c r="D3" s="2">
        <v>4</v>
      </c>
      <c r="E3" s="2">
        <v>4.8</v>
      </c>
      <c r="F3" s="2">
        <v>3.4</v>
      </c>
      <c r="G3" s="2">
        <v>3.1</v>
      </c>
      <c r="I3" s="64" t="s">
        <v>54</v>
      </c>
      <c r="J3" s="70">
        <f>SUMXMY2($D3:$D5,E3:E5)/3</f>
        <v>0.63999999999999968</v>
      </c>
      <c r="K3" s="70">
        <f>SUMXMY2($D3:$D5,F3:F5)/3</f>
        <v>0.44666666666666682</v>
      </c>
      <c r="L3" s="67">
        <f>SUMXMY2($D3:$D5,G3:G5)/3</f>
        <v>0.87333333333333318</v>
      </c>
    </row>
    <row r="4" spans="2:12" ht="17.25" thickBot="1">
      <c r="B4" s="62"/>
      <c r="C4" s="2">
        <v>2</v>
      </c>
      <c r="D4" s="2">
        <v>7</v>
      </c>
      <c r="E4" s="2">
        <v>6.2</v>
      </c>
      <c r="F4" s="2">
        <v>7.7</v>
      </c>
      <c r="G4" s="2">
        <v>8</v>
      </c>
      <c r="I4" s="64"/>
      <c r="J4" s="71"/>
      <c r="K4" s="71"/>
      <c r="L4" s="68"/>
    </row>
    <row r="5" spans="2:12" ht="17.25" thickBot="1">
      <c r="B5" s="63"/>
      <c r="C5" s="2">
        <v>3</v>
      </c>
      <c r="D5" s="2">
        <v>3</v>
      </c>
      <c r="E5" s="2">
        <v>2.2000000000000002</v>
      </c>
      <c r="F5" s="2">
        <v>3.7</v>
      </c>
      <c r="G5" s="2">
        <v>2.1</v>
      </c>
      <c r="I5" s="64"/>
      <c r="J5" s="72"/>
      <c r="K5" s="72"/>
      <c r="L5" s="69"/>
    </row>
    <row r="6" spans="2:12" ht="17.25" thickBot="1">
      <c r="B6" s="61" t="s">
        <v>48</v>
      </c>
      <c r="C6" s="2">
        <v>4</v>
      </c>
      <c r="D6" s="2">
        <v>6</v>
      </c>
      <c r="E6" s="2">
        <v>6.9</v>
      </c>
      <c r="F6" s="2">
        <v>6.6</v>
      </c>
      <c r="G6" s="2">
        <v>6.9</v>
      </c>
      <c r="I6" s="65" t="s">
        <v>55</v>
      </c>
      <c r="J6" s="70">
        <f>SUMXMY2($D6:$D8,E6:E8)/3</f>
        <v>0.69666666666666721</v>
      </c>
      <c r="K6" s="70">
        <f>SUMXMY2($D6:$D8,F6:F8)/3</f>
        <v>0.40333333333333304</v>
      </c>
      <c r="L6" s="67">
        <f>SUMXMY2($D6:$D8,G6:G8)/3</f>
        <v>0.75333333333333385</v>
      </c>
    </row>
    <row r="7" spans="2:12" ht="17.25" thickBot="1">
      <c r="B7" s="62"/>
      <c r="C7" s="2">
        <v>5</v>
      </c>
      <c r="D7" s="2">
        <v>2</v>
      </c>
      <c r="E7" s="2">
        <v>1.2</v>
      </c>
      <c r="F7" s="2">
        <v>1.3</v>
      </c>
      <c r="G7" s="2">
        <v>1.1000000000000001</v>
      </c>
      <c r="I7" s="65"/>
      <c r="J7" s="71"/>
      <c r="K7" s="71"/>
      <c r="L7" s="68"/>
    </row>
    <row r="8" spans="2:12" ht="17.25" thickBot="1">
      <c r="B8" s="63"/>
      <c r="C8" s="2">
        <v>6</v>
      </c>
      <c r="D8" s="2">
        <v>8.5</v>
      </c>
      <c r="E8" s="2">
        <v>9.3000000000000007</v>
      </c>
      <c r="F8" s="2">
        <v>7.9</v>
      </c>
      <c r="G8" s="2">
        <v>9.3000000000000007</v>
      </c>
      <c r="I8" s="65"/>
      <c r="J8" s="72"/>
      <c r="K8" s="72"/>
      <c r="L8" s="69"/>
    </row>
    <row r="9" spans="2:12" ht="17.25" thickBot="1">
      <c r="B9" s="61" t="s">
        <v>49</v>
      </c>
      <c r="C9" s="2">
        <v>7</v>
      </c>
      <c r="D9" s="2">
        <v>1.5</v>
      </c>
      <c r="E9" s="2">
        <v>2.2999999999999998</v>
      </c>
      <c r="F9" s="2">
        <v>2.2000000000000002</v>
      </c>
      <c r="G9" s="2">
        <v>2.4</v>
      </c>
      <c r="I9" s="65" t="s">
        <v>56</v>
      </c>
      <c r="J9" s="70">
        <f>SUMXMY2($D9:$D11,E9:E11)/3</f>
        <v>0.6966666666666671</v>
      </c>
      <c r="K9" s="70">
        <f>SUMXMY2($D9:$D11,F9:F11)/3</f>
        <v>0.40333333333333315</v>
      </c>
      <c r="L9" s="67">
        <f>SUMXMY2($D9:$D11,G9:G11)/3</f>
        <v>0.81000000000000039</v>
      </c>
    </row>
    <row r="10" spans="2:12" ht="17.25" thickBot="1">
      <c r="B10" s="62"/>
      <c r="C10" s="2">
        <v>8</v>
      </c>
      <c r="D10" s="2">
        <v>6</v>
      </c>
      <c r="E10" s="2">
        <v>5.0999999999999996</v>
      </c>
      <c r="F10" s="2">
        <v>5.4</v>
      </c>
      <c r="G10" s="2">
        <v>5.0999999999999996</v>
      </c>
      <c r="I10" s="65"/>
      <c r="J10" s="71"/>
      <c r="K10" s="71"/>
      <c r="L10" s="68"/>
    </row>
    <row r="11" spans="2:12" ht="17.25" thickBot="1">
      <c r="B11" s="63"/>
      <c r="C11" s="2">
        <v>9</v>
      </c>
      <c r="D11" s="2">
        <v>9</v>
      </c>
      <c r="E11" s="2">
        <v>9.8000000000000007</v>
      </c>
      <c r="F11" s="2">
        <v>8.4</v>
      </c>
      <c r="G11" s="2">
        <v>9.9</v>
      </c>
      <c r="I11" s="65"/>
      <c r="J11" s="72"/>
      <c r="K11" s="72"/>
      <c r="L11" s="69"/>
    </row>
    <row r="12" spans="2:12" ht="17.25" thickBot="1">
      <c r="B12" s="61" t="s">
        <v>50</v>
      </c>
      <c r="C12" s="2">
        <v>10</v>
      </c>
      <c r="D12" s="2">
        <v>3.5</v>
      </c>
      <c r="E12" s="2">
        <v>2.7</v>
      </c>
      <c r="F12" s="2">
        <v>2.9</v>
      </c>
      <c r="G12" s="2">
        <v>2.6</v>
      </c>
      <c r="I12" s="65" t="s">
        <v>57</v>
      </c>
      <c r="J12" s="70">
        <f>SUMXMY2($D12:$D14,E12:E14)/3</f>
        <v>0.64000000000000012</v>
      </c>
      <c r="K12" s="70">
        <f>SUMXMY2($D12:$D14,F12:F14)/3</f>
        <v>0.44666666666666649</v>
      </c>
      <c r="L12" s="67">
        <f>SUMXMY2($D12:$D14,G12:G14)/3</f>
        <v>0.81000000000000039</v>
      </c>
    </row>
    <row r="13" spans="2:12" ht="17.25" thickBot="1">
      <c r="B13" s="62"/>
      <c r="C13" s="2">
        <v>11</v>
      </c>
      <c r="D13" s="2">
        <v>7.5</v>
      </c>
      <c r="E13" s="2">
        <v>8.3000000000000007</v>
      </c>
      <c r="F13" s="2">
        <v>8.1999999999999993</v>
      </c>
      <c r="G13" s="2">
        <v>8.4</v>
      </c>
      <c r="I13" s="65"/>
      <c r="J13" s="71"/>
      <c r="K13" s="71"/>
      <c r="L13" s="68"/>
    </row>
    <row r="14" spans="2:12" ht="17.25" thickBot="1">
      <c r="B14" s="63"/>
      <c r="C14" s="2">
        <v>12</v>
      </c>
      <c r="D14" s="2">
        <v>5</v>
      </c>
      <c r="E14" s="2">
        <v>4.2</v>
      </c>
      <c r="F14" s="2">
        <v>4.3</v>
      </c>
      <c r="G14" s="2">
        <v>4.0999999999999996</v>
      </c>
      <c r="I14" s="66"/>
      <c r="J14" s="71"/>
      <c r="K14" s="71"/>
      <c r="L14" s="68"/>
    </row>
    <row r="15" spans="2:12" ht="17.25" thickBot="1">
      <c r="I15" s="29" t="s">
        <v>58</v>
      </c>
      <c r="J15" s="30">
        <f>AVERAGE(J3:J13)</f>
        <v>0.66833333333333356</v>
      </c>
      <c r="K15" s="30">
        <f t="shared" ref="K15:L15" si="0">AVERAGE(K3:K13)</f>
        <v>0.42499999999999988</v>
      </c>
      <c r="L15" s="31">
        <f t="shared" si="0"/>
        <v>0.81166666666666698</v>
      </c>
    </row>
    <row r="16" spans="2:12" ht="17.25" thickBot="1">
      <c r="I16" s="28" t="s">
        <v>59</v>
      </c>
      <c r="J16" s="32">
        <f>_xlfn.STDEV.S(J3:J14)</f>
        <v>3.2716515254079134E-2</v>
      </c>
      <c r="K16" s="32">
        <f t="shared" ref="K16:L16" si="1">_xlfn.STDEV.S(K3:K14)</f>
        <v>2.5018511664883912E-2</v>
      </c>
      <c r="L16" s="33">
        <f t="shared" si="1"/>
        <v>4.9027581050911297E-2</v>
      </c>
    </row>
  </sheetData>
  <mergeCells count="20">
    <mergeCell ref="L3:L5"/>
    <mergeCell ref="L6:L8"/>
    <mergeCell ref="L9:L11"/>
    <mergeCell ref="L12:L14"/>
    <mergeCell ref="J12:J14"/>
    <mergeCell ref="J9:J11"/>
    <mergeCell ref="J6:J8"/>
    <mergeCell ref="J3:J5"/>
    <mergeCell ref="K3:K5"/>
    <mergeCell ref="K6:K8"/>
    <mergeCell ref="K9:K11"/>
    <mergeCell ref="K12:K14"/>
    <mergeCell ref="B3:B5"/>
    <mergeCell ref="B6:B8"/>
    <mergeCell ref="B9:B11"/>
    <mergeCell ref="B12:B14"/>
    <mergeCell ref="I3:I5"/>
    <mergeCell ref="I6:I8"/>
    <mergeCell ref="I9:I11"/>
    <mergeCell ref="I12:I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70BE-DF2D-4FA9-BD3A-09CFAB6C6625}">
  <dimension ref="B1:E7"/>
  <sheetViews>
    <sheetView workbookViewId="0">
      <selection activeCell="E3" sqref="E3:E7"/>
    </sheetView>
  </sheetViews>
  <sheetFormatPr defaultRowHeight="16.5"/>
  <sheetData>
    <row r="1" spans="2:5" ht="17.25" thickBot="1"/>
    <row r="2" spans="2:5">
      <c r="B2" s="24" t="s">
        <v>60</v>
      </c>
      <c r="C2" s="34" t="s">
        <v>31</v>
      </c>
      <c r="D2" s="34" t="s">
        <v>61</v>
      </c>
      <c r="E2" s="35"/>
    </row>
    <row r="3" spans="2:5">
      <c r="B3" s="27" t="s">
        <v>62</v>
      </c>
      <c r="C3" s="37">
        <v>5.5</v>
      </c>
      <c r="D3" s="37">
        <v>4.9000000000000004</v>
      </c>
      <c r="E3" s="39">
        <f>(D3-C3)^2</f>
        <v>0.3599999999999996</v>
      </c>
    </row>
    <row r="4" spans="2:5">
      <c r="B4" s="27" t="s">
        <v>63</v>
      </c>
      <c r="C4" s="37">
        <v>3</v>
      </c>
      <c r="D4" s="37">
        <v>3.7</v>
      </c>
      <c r="E4" s="39">
        <f t="shared" ref="E4:E6" si="0">(D4-C4)^2</f>
        <v>0.49000000000000027</v>
      </c>
    </row>
    <row r="5" spans="2:5">
      <c r="B5" s="27" t="s">
        <v>64</v>
      </c>
      <c r="C5" s="37">
        <v>8</v>
      </c>
      <c r="D5" s="37">
        <v>8.6</v>
      </c>
      <c r="E5" s="39">
        <f t="shared" si="0"/>
        <v>0.3599999999999996</v>
      </c>
    </row>
    <row r="6" spans="2:5" ht="17.25" thickBot="1">
      <c r="B6" s="36" t="s">
        <v>65</v>
      </c>
      <c r="C6" s="38">
        <v>6.5</v>
      </c>
      <c r="D6" s="38">
        <v>5.8</v>
      </c>
      <c r="E6" s="40">
        <f t="shared" si="0"/>
        <v>0.49000000000000027</v>
      </c>
    </row>
    <row r="7" spans="2:5">
      <c r="D7" t="s">
        <v>58</v>
      </c>
      <c r="E7" s="41">
        <f>AVERAGE(E3:E6)</f>
        <v>0.42499999999999993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EEECF-B2B6-484A-B66E-D12190F25A8F}">
  <dimension ref="B2:K25"/>
  <sheetViews>
    <sheetView workbookViewId="0">
      <selection activeCell="H19" sqref="H19"/>
    </sheetView>
  </sheetViews>
  <sheetFormatPr defaultRowHeight="16.5"/>
  <sheetData>
    <row r="2" spans="2:9">
      <c r="B2" s="8"/>
      <c r="C2" s="8" t="s">
        <v>66</v>
      </c>
      <c r="D2" s="8" t="s">
        <v>67</v>
      </c>
      <c r="E2" s="8" t="s">
        <v>68</v>
      </c>
      <c r="F2" s="8" t="s">
        <v>69</v>
      </c>
      <c r="G2" s="8" t="s">
        <v>70</v>
      </c>
      <c r="H2" s="8" t="s">
        <v>71</v>
      </c>
      <c r="I2" s="43" t="s">
        <v>79</v>
      </c>
    </row>
    <row r="3" spans="2:9">
      <c r="B3" s="8">
        <v>1</v>
      </c>
      <c r="C3" s="8" t="s">
        <v>72</v>
      </c>
      <c r="D3" s="8">
        <v>30</v>
      </c>
      <c r="E3" s="8" t="s">
        <v>73</v>
      </c>
      <c r="F3" s="8">
        <v>1</v>
      </c>
      <c r="G3" s="8">
        <v>3</v>
      </c>
      <c r="H3" s="8" t="s">
        <v>74</v>
      </c>
      <c r="I3">
        <f>F3+G3</f>
        <v>4</v>
      </c>
    </row>
    <row r="4" spans="2:9">
      <c r="B4" s="8">
        <v>2</v>
      </c>
      <c r="C4" s="8" t="s">
        <v>72</v>
      </c>
      <c r="D4" s="8">
        <v>31</v>
      </c>
      <c r="E4" s="8" t="s">
        <v>73</v>
      </c>
      <c r="F4" s="8">
        <v>4</v>
      </c>
      <c r="G4" s="8">
        <v>2</v>
      </c>
      <c r="H4" s="8" t="s">
        <v>74</v>
      </c>
      <c r="I4">
        <f t="shared" ref="I4:I16" si="0">F4+G4</f>
        <v>6</v>
      </c>
    </row>
    <row r="5" spans="2:9">
      <c r="B5" s="42">
        <v>3</v>
      </c>
      <c r="C5" s="42" t="s">
        <v>75</v>
      </c>
      <c r="D5" s="42">
        <v>28</v>
      </c>
      <c r="E5" s="42" t="s">
        <v>73</v>
      </c>
      <c r="F5" s="42">
        <v>2</v>
      </c>
      <c r="G5" s="42">
        <v>5</v>
      </c>
      <c r="H5" s="42" t="s">
        <v>78</v>
      </c>
      <c r="I5">
        <f t="shared" si="0"/>
        <v>7</v>
      </c>
    </row>
    <row r="6" spans="2:9">
      <c r="B6" s="42">
        <v>4</v>
      </c>
      <c r="C6" s="42" t="s">
        <v>76</v>
      </c>
      <c r="D6" s="42">
        <v>23</v>
      </c>
      <c r="E6" s="42" t="s">
        <v>73</v>
      </c>
      <c r="F6" s="42">
        <v>1</v>
      </c>
      <c r="G6" s="42">
        <v>3</v>
      </c>
      <c r="H6" s="42" t="s">
        <v>78</v>
      </c>
      <c r="I6">
        <f t="shared" si="0"/>
        <v>4</v>
      </c>
    </row>
    <row r="7" spans="2:9">
      <c r="B7" s="42">
        <v>5</v>
      </c>
      <c r="C7" s="42" t="s">
        <v>76</v>
      </c>
      <c r="D7" s="42">
        <v>10</v>
      </c>
      <c r="E7" s="42" t="s">
        <v>77</v>
      </c>
      <c r="F7" s="42">
        <v>2</v>
      </c>
      <c r="G7" s="42">
        <v>2</v>
      </c>
      <c r="H7" s="42" t="s">
        <v>78</v>
      </c>
      <c r="I7">
        <f t="shared" si="0"/>
        <v>4</v>
      </c>
    </row>
    <row r="8" spans="2:9">
      <c r="B8" s="8">
        <v>6</v>
      </c>
      <c r="C8" s="8" t="s">
        <v>76</v>
      </c>
      <c r="D8" s="8">
        <v>13</v>
      </c>
      <c r="E8" s="8" t="s">
        <v>77</v>
      </c>
      <c r="F8" s="8">
        <v>3</v>
      </c>
      <c r="G8" s="8">
        <v>2</v>
      </c>
      <c r="H8" s="8" t="s">
        <v>74</v>
      </c>
      <c r="I8">
        <f t="shared" si="0"/>
        <v>5</v>
      </c>
    </row>
    <row r="9" spans="2:9">
      <c r="B9" s="42">
        <v>7</v>
      </c>
      <c r="C9" s="42" t="s">
        <v>75</v>
      </c>
      <c r="D9" s="42">
        <v>14</v>
      </c>
      <c r="E9" s="42" t="s">
        <v>77</v>
      </c>
      <c r="F9" s="42">
        <v>5</v>
      </c>
      <c r="G9" s="42">
        <v>1</v>
      </c>
      <c r="H9" s="42" t="s">
        <v>78</v>
      </c>
      <c r="I9">
        <f t="shared" si="0"/>
        <v>6</v>
      </c>
    </row>
    <row r="10" spans="2:9">
      <c r="B10" s="8">
        <v>8</v>
      </c>
      <c r="C10" s="8" t="s">
        <v>72</v>
      </c>
      <c r="D10" s="8">
        <v>25</v>
      </c>
      <c r="E10" s="8" t="s">
        <v>73</v>
      </c>
      <c r="F10" s="8">
        <v>2</v>
      </c>
      <c r="G10" s="8">
        <v>3</v>
      </c>
      <c r="H10" s="8" t="s">
        <v>74</v>
      </c>
      <c r="I10">
        <f t="shared" si="0"/>
        <v>5</v>
      </c>
    </row>
    <row r="11" spans="2:9">
      <c r="B11" s="42">
        <v>9</v>
      </c>
      <c r="C11" s="42" t="s">
        <v>72</v>
      </c>
      <c r="D11" s="42">
        <v>15</v>
      </c>
      <c r="E11" s="42" t="s">
        <v>77</v>
      </c>
      <c r="F11" s="42">
        <v>1</v>
      </c>
      <c r="G11" s="42">
        <v>2</v>
      </c>
      <c r="H11" s="42" t="s">
        <v>78</v>
      </c>
      <c r="I11">
        <f t="shared" si="0"/>
        <v>3</v>
      </c>
    </row>
    <row r="12" spans="2:9">
      <c r="B12" s="42">
        <v>10</v>
      </c>
      <c r="C12" s="42" t="s">
        <v>76</v>
      </c>
      <c r="D12" s="42">
        <v>22</v>
      </c>
      <c r="E12" s="42" t="s">
        <v>77</v>
      </c>
      <c r="F12" s="42">
        <v>0</v>
      </c>
      <c r="G12" s="42">
        <v>4</v>
      </c>
      <c r="H12" s="42" t="s">
        <v>78</v>
      </c>
      <c r="I12">
        <f t="shared" si="0"/>
        <v>4</v>
      </c>
    </row>
    <row r="13" spans="2:9">
      <c r="B13" s="42">
        <v>11</v>
      </c>
      <c r="C13" s="42" t="s">
        <v>72</v>
      </c>
      <c r="D13" s="42">
        <v>19</v>
      </c>
      <c r="E13" s="42" t="s">
        <v>77</v>
      </c>
      <c r="F13" s="42">
        <v>3</v>
      </c>
      <c r="G13" s="42">
        <v>1</v>
      </c>
      <c r="H13" s="42" t="s">
        <v>78</v>
      </c>
      <c r="I13">
        <f t="shared" si="0"/>
        <v>4</v>
      </c>
    </row>
    <row r="14" spans="2:9">
      <c r="B14" s="42">
        <v>12</v>
      </c>
      <c r="C14" s="42" t="s">
        <v>75</v>
      </c>
      <c r="D14" s="42">
        <v>20</v>
      </c>
      <c r="E14" s="42" t="s">
        <v>73</v>
      </c>
      <c r="F14" s="42">
        <v>3</v>
      </c>
      <c r="G14" s="42">
        <v>2</v>
      </c>
      <c r="H14" s="42" t="s">
        <v>78</v>
      </c>
      <c r="I14">
        <f t="shared" si="0"/>
        <v>5</v>
      </c>
    </row>
    <row r="15" spans="2:9">
      <c r="B15" s="42">
        <v>13</v>
      </c>
      <c r="C15" s="42" t="s">
        <v>75</v>
      </c>
      <c r="D15" s="42">
        <v>33</v>
      </c>
      <c r="E15" s="42" t="s">
        <v>77</v>
      </c>
      <c r="F15" s="42">
        <v>1</v>
      </c>
      <c r="G15" s="42">
        <v>2</v>
      </c>
      <c r="H15" s="42" t="s">
        <v>78</v>
      </c>
      <c r="I15">
        <f t="shared" si="0"/>
        <v>3</v>
      </c>
    </row>
    <row r="16" spans="2:9">
      <c r="B16" s="8">
        <v>14</v>
      </c>
      <c r="C16" s="8" t="s">
        <v>76</v>
      </c>
      <c r="D16" s="8">
        <v>18</v>
      </c>
      <c r="E16" s="8" t="s">
        <v>73</v>
      </c>
      <c r="F16" s="8">
        <v>3</v>
      </c>
      <c r="G16" s="8">
        <v>3</v>
      </c>
      <c r="H16" s="8" t="s">
        <v>74</v>
      </c>
      <c r="I16">
        <f t="shared" si="0"/>
        <v>6</v>
      </c>
    </row>
    <row r="19" spans="3:11">
      <c r="C19" t="s">
        <v>74</v>
      </c>
      <c r="D19">
        <f>SUM(D3,D4,D8,D10,D16)</f>
        <v>117</v>
      </c>
      <c r="E19">
        <f>D19/5</f>
        <v>23.4</v>
      </c>
      <c r="F19">
        <f>_xlfn.VAR.P(D3,D4,D8,D10,D16)</f>
        <v>48.24</v>
      </c>
      <c r="G19">
        <f>(1/SQRT(2*PI()*F19))*EXP(-((24-E19)^2)/(2*F19))</f>
        <v>5.7225014904012092E-2</v>
      </c>
      <c r="H19">
        <f>(5/14)*(3/5)*(0.0572225)*(1/5)*(0.273438)</f>
        <v>6.7057739807142868E-4</v>
      </c>
      <c r="I19">
        <f>SUM(I3,I4,I8,I10,I16)</f>
        <v>26</v>
      </c>
      <c r="J19">
        <f>SUM(F3,F4,F8,F10,F16)</f>
        <v>13</v>
      </c>
      <c r="K19">
        <f>SUM(G3,G4,G8,G10,G16)</f>
        <v>13</v>
      </c>
    </row>
    <row r="20" spans="3:11">
      <c r="C20" t="s">
        <v>78</v>
      </c>
      <c r="D20">
        <f>SUM(D5,D6,D7,D9,D11,D12,D13,D14,D15)</f>
        <v>184</v>
      </c>
      <c r="E20">
        <f>D20/9</f>
        <v>20.444444444444443</v>
      </c>
      <c r="F20">
        <f>_xlfn.VAR.P(D5,D6,D7,D9,D11,D12,D13,D14,D15)</f>
        <v>45.135802469135804</v>
      </c>
      <c r="G20">
        <f>(1/SQRT(2*PI()*F20))*EXP(-((24-E20)^2)/(2*F20))</f>
        <v>5.1621336916467836E-2</v>
      </c>
      <c r="H20">
        <f>(9/14)*(2/9)*(0.051621)*(6/9)*(0.262663)</f>
        <v>1.2913263545714282E-3</v>
      </c>
      <c r="I20">
        <f>SUM(I14:I15,I13,I12,I11,I9,I7,I5,I6)</f>
        <v>40</v>
      </c>
      <c r="J20">
        <f>SUM(F5,F6,F7,F9,F11,F12,F13,F14,F15)</f>
        <v>18</v>
      </c>
      <c r="K20">
        <f>SUM(G5,G6,G7,G9,G11,G12,G13,G14,G15)</f>
        <v>22</v>
      </c>
    </row>
    <row r="23" spans="3:11">
      <c r="G23">
        <f>70*(0.5^4)*(0.5^4)</f>
        <v>0.2734375</v>
      </c>
    </row>
    <row r="25" spans="3:11">
      <c r="I25">
        <f>FACT(8)/(FACT(4)*FACT(4))</f>
        <v>70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AADE-F953-4F60-8B6D-A98ED98B444C}">
  <dimension ref="B1:X19"/>
  <sheetViews>
    <sheetView topLeftCell="I1" zoomScaleNormal="100" workbookViewId="0">
      <selection activeCell="Q26" sqref="Q26:X30"/>
    </sheetView>
  </sheetViews>
  <sheetFormatPr defaultRowHeight="16.5"/>
  <sheetData>
    <row r="1" spans="2:24">
      <c r="B1" t="s">
        <v>78</v>
      </c>
      <c r="C1">
        <v>1</v>
      </c>
      <c r="H1" t="s">
        <v>93</v>
      </c>
      <c r="I1">
        <v>1</v>
      </c>
      <c r="K1" t="s">
        <v>78</v>
      </c>
      <c r="L1">
        <v>1</v>
      </c>
    </row>
    <row r="2" spans="2:24">
      <c r="B2" t="s">
        <v>74</v>
      </c>
      <c r="C2">
        <v>0</v>
      </c>
      <c r="H2" t="s">
        <v>94</v>
      </c>
      <c r="I2">
        <v>0</v>
      </c>
      <c r="K2" t="s">
        <v>74</v>
      </c>
      <c r="L2">
        <v>0</v>
      </c>
    </row>
    <row r="3" spans="2:24" ht="17.25" thickBot="1"/>
    <row r="4" spans="2:24" ht="17.25" thickBot="1">
      <c r="B4" s="46" t="s">
        <v>80</v>
      </c>
      <c r="C4" s="47" t="s">
        <v>81</v>
      </c>
      <c r="D4" s="48" t="s">
        <v>82</v>
      </c>
      <c r="H4" s="44" t="s">
        <v>80</v>
      </c>
      <c r="I4" s="44" t="s">
        <v>1</v>
      </c>
      <c r="J4" s="44" t="s">
        <v>2</v>
      </c>
      <c r="K4" s="44" t="s">
        <v>88</v>
      </c>
      <c r="L4" s="44" t="s">
        <v>89</v>
      </c>
      <c r="M4" s="44" t="s">
        <v>90</v>
      </c>
      <c r="N4" s="44" t="s">
        <v>91</v>
      </c>
      <c r="O4" s="44" t="s">
        <v>92</v>
      </c>
      <c r="Q4" s="57" t="s">
        <v>80</v>
      </c>
      <c r="R4" s="54" t="s">
        <v>1</v>
      </c>
      <c r="S4" s="47" t="s">
        <v>2</v>
      </c>
      <c r="T4" s="47" t="s">
        <v>88</v>
      </c>
      <c r="U4" s="47" t="s">
        <v>89</v>
      </c>
      <c r="V4" s="47" t="s">
        <v>90</v>
      </c>
      <c r="W4" s="47" t="s">
        <v>91</v>
      </c>
      <c r="X4" s="48" t="s">
        <v>92</v>
      </c>
    </row>
    <row r="5" spans="2:24">
      <c r="B5" s="49">
        <v>1</v>
      </c>
      <c r="C5" s="45">
        <v>25</v>
      </c>
      <c r="D5" s="50">
        <v>0</v>
      </c>
      <c r="H5" s="44" t="s">
        <v>83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Q5" s="58" t="s">
        <v>83</v>
      </c>
      <c r="R5" s="55" t="str">
        <f>IF((I5=1),"T","F")</f>
        <v>T</v>
      </c>
      <c r="S5" s="45" t="str">
        <f t="shared" ref="S5:W9" si="0">IF((J5=1),"T","F")</f>
        <v>F</v>
      </c>
      <c r="T5" s="45" t="str">
        <f t="shared" si="0"/>
        <v>T</v>
      </c>
      <c r="U5" s="45" t="str">
        <f t="shared" si="0"/>
        <v>F</v>
      </c>
      <c r="V5" s="45" t="str">
        <f t="shared" si="0"/>
        <v>T</v>
      </c>
      <c r="W5" s="45" t="str">
        <f t="shared" si="0"/>
        <v>F</v>
      </c>
      <c r="X5" s="45" t="str">
        <f>IF(O5=1,"Yes","No")</f>
        <v>Yes</v>
      </c>
    </row>
    <row r="6" spans="2:24">
      <c r="B6" s="27">
        <v>2</v>
      </c>
      <c r="C6" s="8">
        <v>35</v>
      </c>
      <c r="D6" s="51">
        <v>0</v>
      </c>
      <c r="H6" s="44" t="s">
        <v>84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Q6" s="59" t="s">
        <v>84</v>
      </c>
      <c r="R6" s="56" t="str">
        <f t="shared" ref="R6:R9" si="1">IF((I6=1),"T","F")</f>
        <v>F</v>
      </c>
      <c r="S6" s="8" t="str">
        <f t="shared" si="0"/>
        <v>T</v>
      </c>
      <c r="T6" s="8" t="str">
        <f t="shared" si="0"/>
        <v>F</v>
      </c>
      <c r="U6" s="8" t="str">
        <f t="shared" si="0"/>
        <v>T</v>
      </c>
      <c r="V6" s="8" t="str">
        <f t="shared" si="0"/>
        <v>F</v>
      </c>
      <c r="W6" s="8" t="str">
        <f t="shared" si="0"/>
        <v>T</v>
      </c>
      <c r="X6" s="8" t="str">
        <f t="shared" ref="X6:X9" si="2">IF(O6=1,"Yes","No")</f>
        <v>No</v>
      </c>
    </row>
    <row r="7" spans="2:24">
      <c r="B7" s="27">
        <v>3</v>
      </c>
      <c r="C7" s="8">
        <v>45</v>
      </c>
      <c r="D7" s="51">
        <v>1</v>
      </c>
      <c r="H7" s="44" t="s">
        <v>85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Q7" s="59" t="s">
        <v>85</v>
      </c>
      <c r="R7" s="56" t="str">
        <f t="shared" si="1"/>
        <v>T</v>
      </c>
      <c r="S7" s="8" t="str">
        <f t="shared" si="0"/>
        <v>T</v>
      </c>
      <c r="T7" s="8" t="str">
        <f t="shared" si="0"/>
        <v>F</v>
      </c>
      <c r="U7" s="8" t="str">
        <f t="shared" si="0"/>
        <v>F</v>
      </c>
      <c r="V7" s="8" t="str">
        <f t="shared" si="0"/>
        <v>T</v>
      </c>
      <c r="W7" s="8" t="str">
        <f t="shared" si="0"/>
        <v>T</v>
      </c>
      <c r="X7" s="8" t="str">
        <f t="shared" si="2"/>
        <v>Yes</v>
      </c>
    </row>
    <row r="8" spans="2:24">
      <c r="B8" s="27">
        <v>4</v>
      </c>
      <c r="C8" s="8">
        <v>55</v>
      </c>
      <c r="D8" s="51">
        <v>0</v>
      </c>
      <c r="H8" s="44" t="s">
        <v>86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Q8" s="59" t="s">
        <v>86</v>
      </c>
      <c r="R8" s="56" t="str">
        <f t="shared" si="1"/>
        <v>F</v>
      </c>
      <c r="S8" s="8" t="str">
        <f t="shared" si="0"/>
        <v>F</v>
      </c>
      <c r="T8" s="8" t="str">
        <f t="shared" si="0"/>
        <v>T</v>
      </c>
      <c r="U8" s="8" t="str">
        <f t="shared" si="0"/>
        <v>T</v>
      </c>
      <c r="V8" s="8" t="str">
        <f t="shared" si="0"/>
        <v>F</v>
      </c>
      <c r="W8" s="8" t="str">
        <f t="shared" si="0"/>
        <v>F</v>
      </c>
      <c r="X8" s="8" t="str">
        <f t="shared" si="2"/>
        <v>No</v>
      </c>
    </row>
    <row r="9" spans="2:24" ht="17.25" thickBot="1">
      <c r="B9" s="27">
        <v>5</v>
      </c>
      <c r="C9" s="8">
        <v>65</v>
      </c>
      <c r="D9" s="51">
        <v>1</v>
      </c>
      <c r="H9" s="44" t="s">
        <v>87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Q9" s="60" t="s">
        <v>87</v>
      </c>
      <c r="R9" s="56" t="str">
        <f t="shared" si="1"/>
        <v>T</v>
      </c>
      <c r="S9" s="8" t="str">
        <f t="shared" si="0"/>
        <v>F</v>
      </c>
      <c r="T9" s="8" t="str">
        <f t="shared" si="0"/>
        <v>F</v>
      </c>
      <c r="U9" s="8" t="str">
        <f t="shared" si="0"/>
        <v>T</v>
      </c>
      <c r="V9" s="8" t="str">
        <f t="shared" si="0"/>
        <v>F</v>
      </c>
      <c r="W9" s="8" t="str">
        <f t="shared" si="0"/>
        <v>F</v>
      </c>
      <c r="X9" s="8" t="str">
        <f t="shared" si="2"/>
        <v>Yes</v>
      </c>
    </row>
    <row r="10" spans="2:24">
      <c r="B10" s="27">
        <v>6</v>
      </c>
      <c r="C10" s="8">
        <v>75</v>
      </c>
      <c r="D10" s="51">
        <v>1</v>
      </c>
    </row>
    <row r="11" spans="2:24">
      <c r="B11" s="27">
        <v>7</v>
      </c>
      <c r="C11" s="8">
        <v>85</v>
      </c>
      <c r="D11" s="51">
        <v>1</v>
      </c>
    </row>
    <row r="12" spans="2:24" ht="17.25" thickBot="1">
      <c r="B12" s="36">
        <v>8</v>
      </c>
      <c r="C12" s="52">
        <v>95</v>
      </c>
      <c r="D12" s="53">
        <v>0</v>
      </c>
    </row>
    <row r="14" spans="2:24">
      <c r="C14">
        <f>4-D14</f>
        <v>3</v>
      </c>
      <c r="D14">
        <f>COUNTIF(D12,0)</f>
        <v>1</v>
      </c>
    </row>
    <row r="15" spans="2:24">
      <c r="C15">
        <f>4-D15</f>
        <v>4</v>
      </c>
      <c r="D15">
        <f>COUNTIF(D12,1)</f>
        <v>0</v>
      </c>
    </row>
    <row r="17" spans="3:4">
      <c r="C17">
        <f>1-(C14/SUM(C14:C15))^2-(C15/SUM(C14:C15))^2</f>
        <v>0.48979591836734698</v>
      </c>
      <c r="D17">
        <f>1-(D14/SUM(D14:D15))^2-(D15/SUM(D14:D15))^2</f>
        <v>0</v>
      </c>
    </row>
    <row r="19" spans="3:4">
      <c r="C19">
        <f>SUM(C14:C15)/8 * C17 + SUM(D14:D15)/8 *D17</f>
        <v>0.4285714285714286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5612-BA88-468F-B918-F9D5B1724669}">
  <dimension ref="B2:I15"/>
  <sheetViews>
    <sheetView tabSelected="1" workbookViewId="0">
      <selection activeCell="O10" sqref="O10"/>
    </sheetView>
  </sheetViews>
  <sheetFormatPr defaultRowHeight="16.5"/>
  <sheetData>
    <row r="2" spans="2:9" ht="17.25" thickBot="1">
      <c r="B2" t="s">
        <v>101</v>
      </c>
    </row>
    <row r="3" spans="2:9" ht="17.25" thickBot="1">
      <c r="B3" s="73" t="s">
        <v>1</v>
      </c>
      <c r="C3" s="74" t="s">
        <v>2</v>
      </c>
      <c r="D3" s="74" t="s">
        <v>95</v>
      </c>
      <c r="E3" s="74" t="s">
        <v>96</v>
      </c>
      <c r="F3" s="74" t="s">
        <v>97</v>
      </c>
      <c r="G3" s="74" t="s">
        <v>98</v>
      </c>
      <c r="H3" s="74" t="s">
        <v>99</v>
      </c>
      <c r="I3" s="75" t="s">
        <v>31</v>
      </c>
    </row>
    <row r="4" spans="2:9" ht="17.25" thickTop="1">
      <c r="B4" s="49">
        <v>0</v>
      </c>
      <c r="C4" s="45">
        <v>0</v>
      </c>
      <c r="D4" s="45">
        <f>1.5*B4+0.5*C4-1.5</f>
        <v>-1.5</v>
      </c>
      <c r="E4" s="45">
        <f>0.5*B4+1.5*C4-0.5</f>
        <v>-0.5</v>
      </c>
      <c r="F4" s="45">
        <f>IF(D4&lt;0,0,1)</f>
        <v>0</v>
      </c>
      <c r="G4" s="45">
        <f>IF(E4&lt;0,0,1)</f>
        <v>0</v>
      </c>
      <c r="H4" s="45">
        <f>-F4+G4-0.5</f>
        <v>-0.5</v>
      </c>
      <c r="I4" s="50">
        <f>IF(H4&lt;0,0,1)</f>
        <v>0</v>
      </c>
    </row>
    <row r="5" spans="2:9">
      <c r="B5" s="27">
        <v>0</v>
      </c>
      <c r="C5" s="8">
        <v>1</v>
      </c>
      <c r="D5" s="8">
        <f t="shared" ref="D5:D7" si="0">1.5*B5+0.5*C5-1.5</f>
        <v>-1</v>
      </c>
      <c r="E5" s="8">
        <f t="shared" ref="E5:E7" si="1">0.5*B5+1.5*C5-0.5</f>
        <v>1</v>
      </c>
      <c r="F5" s="8">
        <f t="shared" ref="F5:G7" si="2">IF(D5&lt;0,0,1)</f>
        <v>0</v>
      </c>
      <c r="G5" s="8">
        <f t="shared" si="2"/>
        <v>1</v>
      </c>
      <c r="H5" s="8">
        <f t="shared" ref="H5:H7" si="3">-F5+G5-0.5</f>
        <v>0.5</v>
      </c>
      <c r="I5" s="51">
        <f t="shared" ref="I5:I7" si="4">IF(H5&lt;0,0,1)</f>
        <v>1</v>
      </c>
    </row>
    <row r="6" spans="2:9">
      <c r="B6" s="27">
        <v>1</v>
      </c>
      <c r="C6" s="8">
        <v>0</v>
      </c>
      <c r="D6" s="8">
        <f t="shared" si="0"/>
        <v>0</v>
      </c>
      <c r="E6" s="8">
        <f t="shared" si="1"/>
        <v>0</v>
      </c>
      <c r="F6" s="8">
        <f t="shared" si="2"/>
        <v>1</v>
      </c>
      <c r="G6" s="8">
        <f t="shared" si="2"/>
        <v>1</v>
      </c>
      <c r="H6" s="8">
        <f t="shared" si="3"/>
        <v>-0.5</v>
      </c>
      <c r="I6" s="51">
        <f t="shared" si="4"/>
        <v>0</v>
      </c>
    </row>
    <row r="7" spans="2:9" ht="17.25" thickBot="1">
      <c r="B7" s="36">
        <v>1</v>
      </c>
      <c r="C7" s="52">
        <v>1</v>
      </c>
      <c r="D7" s="52">
        <f t="shared" si="0"/>
        <v>0.5</v>
      </c>
      <c r="E7" s="52">
        <f t="shared" si="1"/>
        <v>1.5</v>
      </c>
      <c r="F7" s="52">
        <f t="shared" si="2"/>
        <v>1</v>
      </c>
      <c r="G7" s="52">
        <f t="shared" si="2"/>
        <v>1</v>
      </c>
      <c r="H7" s="52">
        <f t="shared" si="3"/>
        <v>-0.5</v>
      </c>
      <c r="I7" s="53">
        <f t="shared" si="4"/>
        <v>0</v>
      </c>
    </row>
    <row r="10" spans="2:9" ht="17.25" thickBot="1">
      <c r="B10" t="s">
        <v>100</v>
      </c>
    </row>
    <row r="11" spans="2:9" ht="17.25" thickBot="1">
      <c r="B11" s="73" t="s">
        <v>1</v>
      </c>
      <c r="C11" s="74" t="s">
        <v>2</v>
      </c>
      <c r="D11" s="74" t="s">
        <v>95</v>
      </c>
      <c r="E11" s="74" t="s">
        <v>96</v>
      </c>
      <c r="F11" s="74" t="s">
        <v>97</v>
      </c>
      <c r="G11" s="74" t="s">
        <v>98</v>
      </c>
      <c r="H11" s="74" t="s">
        <v>99</v>
      </c>
      <c r="I11" s="75" t="s">
        <v>31</v>
      </c>
    </row>
    <row r="12" spans="2:9" ht="17.25" thickTop="1">
      <c r="B12" s="49">
        <v>0</v>
      </c>
      <c r="C12" s="45">
        <v>0</v>
      </c>
      <c r="D12" s="45">
        <f>1.5*B12+0.5*C12-1.5</f>
        <v>-1.5</v>
      </c>
      <c r="E12" s="45">
        <f>0.5*B12+1.5*C12-0.5</f>
        <v>-0.5</v>
      </c>
      <c r="F12" s="45">
        <f>IF(D12&lt;0,0,D12)</f>
        <v>0</v>
      </c>
      <c r="G12" s="45">
        <f>IF(E12&lt;0,0,E12)</f>
        <v>0</v>
      </c>
      <c r="H12" s="45">
        <f>-F12+G12-0.5</f>
        <v>-0.5</v>
      </c>
      <c r="I12" s="50">
        <f>IF(H12&lt;0,0,H12)</f>
        <v>0</v>
      </c>
    </row>
    <row r="13" spans="2:9">
      <c r="B13" s="27">
        <v>0</v>
      </c>
      <c r="C13" s="8">
        <v>1</v>
      </c>
      <c r="D13" s="8">
        <f t="shared" ref="D13:D15" si="5">1.5*B13+0.5*C13-1.5</f>
        <v>-1</v>
      </c>
      <c r="E13" s="8">
        <f t="shared" ref="E13:E15" si="6">0.5*B13+1.5*C13-0.5</f>
        <v>1</v>
      </c>
      <c r="F13" s="45">
        <f t="shared" ref="F13:F15" si="7">IF(D13&lt;0,0,D13)</f>
        <v>0</v>
      </c>
      <c r="G13" s="45">
        <f t="shared" ref="G13:G15" si="8">IF(E13&lt;0,0,E13)</f>
        <v>1</v>
      </c>
      <c r="H13" s="8">
        <f t="shared" ref="H13:H15" si="9">-F13+G13-0.5</f>
        <v>0.5</v>
      </c>
      <c r="I13" s="50">
        <f t="shared" ref="I13:I15" si="10">IF(H13&lt;0,0,H13)</f>
        <v>0.5</v>
      </c>
    </row>
    <row r="14" spans="2:9">
      <c r="B14" s="27">
        <v>1</v>
      </c>
      <c r="C14" s="8">
        <v>0</v>
      </c>
      <c r="D14" s="8">
        <f t="shared" si="5"/>
        <v>0</v>
      </c>
      <c r="E14" s="8">
        <f t="shared" si="6"/>
        <v>0</v>
      </c>
      <c r="F14" s="45">
        <f t="shared" si="7"/>
        <v>0</v>
      </c>
      <c r="G14" s="45">
        <f t="shared" si="8"/>
        <v>0</v>
      </c>
      <c r="H14" s="8">
        <f t="shared" si="9"/>
        <v>-0.5</v>
      </c>
      <c r="I14" s="50">
        <f t="shared" si="10"/>
        <v>0</v>
      </c>
    </row>
    <row r="15" spans="2:9" ht="17.25" thickBot="1">
      <c r="B15" s="36">
        <v>1</v>
      </c>
      <c r="C15" s="52">
        <v>1</v>
      </c>
      <c r="D15" s="52">
        <f t="shared" si="5"/>
        <v>0.5</v>
      </c>
      <c r="E15" s="52">
        <f t="shared" si="6"/>
        <v>1.5</v>
      </c>
      <c r="F15" s="76">
        <f t="shared" si="7"/>
        <v>0.5</v>
      </c>
      <c r="G15" s="76">
        <f t="shared" si="8"/>
        <v>1.5</v>
      </c>
      <c r="H15" s="52">
        <f t="shared" si="9"/>
        <v>0.5</v>
      </c>
      <c r="I15" s="77">
        <f t="shared" si="10"/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1-1</vt:lpstr>
      <vt:lpstr>1-2</vt:lpstr>
      <vt:lpstr>Sheet1</vt:lpstr>
      <vt:lpstr>4-3</vt:lpstr>
      <vt:lpstr>5-1</vt:lpstr>
      <vt:lpstr>5-2</vt:lpstr>
      <vt:lpstr>6</vt:lpstr>
      <vt:lpstr>8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고태호</dc:creator>
  <cp:lastModifiedBy>고태호</cp:lastModifiedBy>
  <dcterms:created xsi:type="dcterms:W3CDTF">2026-03-09T09:26:30Z</dcterms:created>
  <dcterms:modified xsi:type="dcterms:W3CDTF">2026-05-25T12:06:46Z</dcterms:modified>
</cp:coreProperties>
</file>